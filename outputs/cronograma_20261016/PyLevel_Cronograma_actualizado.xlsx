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dbe4f8401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fe0e6ef6f0047ca"/>
    <x:sheet xmlns:r="http://schemas.openxmlformats.org/officeDocument/2006/relationships" name="Cronograma" sheetId="2" r:id="Ra6787787b7a94283"/>
  </x:sheets>
</x:workbook>
</file>

<file path=xl/sharedStrings.xml><?xml version="1.0" encoding="utf-8"?>
<x:sst xmlns:x="http://schemas.openxmlformats.org/spreadsheetml/2006/main">
  <x:si>
    <x:t xml:space="preserve">PyLevel  |  Cronograma de desarrollo y despliegue</x:t>
  </x:si>
  <x:si>
    <x:t xml:space="preserve">Inicio</x:t>
  </x:si>
  <x:si>
    <x:t xml:space="preserve">Finalización</x:t>
  </x:si>
  <x:si>
    <x:t xml:space="preserve">Duración</x:t>
  </x:si>
  <x:si>
    <x:t xml:space="preserve">8 semanas</x:t>
  </x:si>
  <x:si>
    <x:t xml:space="preserve">Sprints</x:t>
  </x:si>
  <x:si>
    <x:t xml:space="preserve">RUTA DE ENTREGA</x:t>
  </x:si>
  <x:si>
    <x:t xml:space="preserve">Sprint</x:t>
  </x:si>
  <x:si>
    <x:t xml:space="preserve">Fin</x:t>
  </x:si>
  <x:si>
    <x:t xml:space="preserve">Semanas</x:t>
  </x:si>
  <x:si>
    <x:t xml:space="preserve">Objetivo</x:t>
  </x:si>
  <x:si>
    <x:t xml:space="preserve">Hito de salida</x:t>
  </x:si>
  <x:si>
    <x:t xml:space="preserve">Enfoque de prueba</x:t>
  </x:si>
  <x:si>
    <x:t xml:space="preserve">Condición / observación</x:t>
  </x:si>
  <x:si>
    <x:t xml:space="preserve">Sprint 1</x:t>
  </x:si>
  <x:si>
    <x:t xml:space="preserve">1–2</x:t>
  </x:si>
  <x:si>
    <x:t xml:space="preserve">Sprint 2</x:t>
  </x:si>
  <x:si>
    <x:t xml:space="preserve">3–4</x:t>
  </x:si>
  <x:si>
    <x:t xml:space="preserve">Sprint 3</x:t>
  </x:si>
  <x:si>
    <x:t xml:space="preserve">5–6</x:t>
  </x:si>
  <x:si>
    <x:t xml:space="preserve">Sprint 4</x:t>
  </x:si>
  <x:si>
    <x:t xml:space="preserve">7–8</x:t>
  </x:si>
  <x:si>
    <x:t xml:space="preserve">PyLevel  |  Plan detallado y Gantt semanal</x:t>
  </x:si>
  <x:si>
    <x:t xml:space="preserve">GANTT · SEMANAS DEL PROYECTO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</x:si>
  <x:si>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</x:si>
  <x:si>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</x:si>
  <x:si>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</x:si>
  <x:si>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</x:si>
  <x:si>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</x:si>
  <x:si>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S6</x:t>
  </x:si>
  <x:si>
    <x:t xml:space="preserve">S7</x:t>
  </x:si>
  <x:si>
    <x:t xml:space="preserve">S8</x:t>
  </x:si>
  <x:si>
    <x:t xml:space="preserve">ID</x:t>
  </x:si>
  <x:si>
    <x:t xml:space="preserve">Días</x:t>
  </x:si>
  <x:si>
    <x:t xml:space="preserve">Depende de</x:t>
  </x:si>
  <x:si>
    <x:t xml:space="preserve">Entregable verificable</x:t>
  </x:si>
  <x:si>
    <x:t xml:space="preserve">Estado</x:t>
  </x:si>
</x:sst>
</file>

<file path=xl/styles.xml><?xml version="1.0" encoding="utf-8"?>
<x:styleSheet xmlns:x="http://schemas.openxmlformats.org/spreadsheetml/2006/main">
  <x:numFmts count="4">
    <x:numFmt numFmtId="164" formatCode="dd mmm yyyy"/>
    <x:numFmt numFmtId="165" formatCode="dd mmm"/>
    <x:numFmt numFmtId="166" formatCode="dd/mm/yyyy"/>
    <x:numFmt numFmtId="200" formatCode="0%"/>
  </x:numFmts>
  <x:fonts count="16">
    <x:font>
      <x:sz val="11"/>
      <x:color rgb="FF000000"/>
      <x:name val="Carlito"/>
      <x:scheme val="minor"/>
    </x:font>
    <x:font>
      <x:b/>
      <x:sz val="18"/>
      <x:color rgb="FFFFFFFF"/>
      <x:name val="Carlito"/>
    </x:font>
    <x:font>
      <x:sz val="11"/>
      <x:color rgb="FFFFFFFF"/>
      <x:name val="Carlito"/>
    </x:font>
    <x:font>
      <x:b/>
      <x:sz val="11"/>
      <x:color rgb="FF15324A"/>
      <x:name val="Carlito"/>
    </x:font>
    <x:font>
      <x:sz val="11"/>
      <x:color rgb="FF15324A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b/>
      <x:sz val="17"/>
      <x:color rgb="FFFFFFFF"/>
      <x:name val="Carlito"/>
    </x:font>
    <x:font>
      <x:i/>
      <x:sz val="11"/>
      <x:color rgb="FF526473"/>
      <x:name val="Carlito"/>
    </x:font>
    <x:font>
      <x:b/>
      <x:sz val="11"/>
      <x:color rgb="FF145374"/>
      <x:name val="Carlito"/>
    </x:font>
    <x:font>
      <x:b/>
      <x:sz val="11"/>
      <x:color theme="1"/>
      <x:name val="Carlito"/>
    </x:font>
    <x:font>
      <x:b/>
      <x:sz val="11"/>
      <x:color rgb="FFFFFFFF"/>
      <x:name val="Carlito"/>
      <x:scheme val="minor"/>
    </x:font>
    <x:font>
      <x:i/>
      <x:sz val="11"/>
      <x:color rgb="FF526473"/>
      <x:name val="Carlito"/>
      <x:scheme val="minor"/>
    </x:font>
    <x:font>
      <x:sz val="11"/>
      <x:color rgb="FF526473"/>
      <x:name val="Carlito"/>
      <x:scheme val="minor"/>
    </x:font>
    <x:font>
      <x:b/>
      <x:sz val="11"/>
      <x:color rgb="FF1F7887"/>
      <x:name val="Carlito"/>
    </x:font>
    <x:font>
      <x:b/>
      <x:sz val="11"/>
      <x:color rgb="FF15324A"/>
      <x:name val="Carlito"/>
      <x:scheme val="minor"/>
    </x:font>
  </x:fonts>
  <x:fills count="9">
    <x:fill>
      <x:patternFill patternType="none"/>
    </x:fill>
    <x:fill>
      <x:patternFill patternType="lightGray"/>
    </x:fill>
    <x:fill>
      <x:patternFill patternType="solid">
        <x:fgColor rgb="FF15324A"/>
      </x:patternFill>
    </x:fill>
    <x:fill>
      <x:patternFill patternType="solid">
        <x:fgColor rgb="FF1D4866"/>
      </x:patternFill>
    </x:fill>
    <x:fill>
      <x:patternFill patternType="solid">
        <x:fgColor rgb="FFEAF2F7"/>
      </x:patternFill>
    </x:fill>
    <x:fill>
      <x:patternFill patternType="solid">
        <x:fgColor rgb="FF1E7885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1F4E67"/>
      </x:patternFill>
    </x:fill>
  </x:fills>
  <x:borders count="2">
    <x:border/>
    <x:border>
      <x:bottom style="thin">
        <x:color rgb="FFE4EAF0"/>
      </x:bottom>
    </x:border>
  </x:borders>
  <x:cellStyleXfs count="1">
    <x:xf numFmtId="0" fontId="0" fillId="0" borderId="0" applyFont="1" applyAlignment="1"/>
  </x:cellStyleXfs>
  <x:cellXfs count="57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3" fillId="4" borderId="0" xfId="0" applyFont="1" applyFill="1" applyAlignment="1">
      <x:alignment vertical="center"/>
    </x:xf>
    <x:xf numFmtId="164" fontId="4" fillId="4" borderId="0" xfId="0" applyNumberFormat="1" applyFont="1" applyFill="1" applyAlignment="1">
      <x:alignment vertical="center"/>
    </x:xf>
    <x:xf numFmtId="0" fontId="5" fillId="3" borderId="0" xfId="0" applyFont="1" applyFill="1"/>
    <x:xf numFmtId="0" fontId="5" fillId="5" borderId="0" xfId="0" applyFont="1" applyFill="1" applyAlignment="1">
      <x:alignment vertical="center" wrapText="1" shrinkToFit="0"/>
    </x:xf>
    <x:xf numFmtId="0" fontId="6" fillId="6" borderId="0" xfId="0" applyFont="1" applyFill="1" applyAlignment="1">
      <x:alignment vertical="center" wrapText="1" shrinkToFit="0"/>
    </x:xf>
    <x:xf numFmtId="164" fontId="6" fillId="6" borderId="0" xfId="0" applyNumberFormat="1" applyFont="1" applyFill="1" applyAlignment="1">
      <x:alignment vertical="center" wrapText="1" shrinkToFit="0"/>
    </x:xf>
    <x:xf numFmtId="0" fontId="6" fillId="6" borderId="0" xfId="0" applyFont="1" applyFill="1" applyAlignment="1">
      <x:alignment vertical="center" wrapText="1" shrinkToFit="0"/>
    </x:xf>
    <x:xf numFmtId="0" fontId="6" fillId="0" borderId="0" xfId="0" applyFont="1" applyAlignment="1">
      <x:alignment vertical="center" wrapText="1" shrinkToFit="0"/>
    </x:xf>
    <x:xf numFmtId="0" fontId="7" fillId="2" borderId="0" xfId="0" applyFont="1" applyFill="1"/>
    <x:xf numFmtId="164" fontId="6" fillId="0" borderId="0" xfId="0" applyNumberFormat="1" applyFont="1" applyAlignment="1">
      <x:alignment vertical="center" wrapText="1" shrinkToFit="0"/>
    </x:xf>
    <x:xf numFmtId="0" fontId="6" fillId="0" borderId="0" xfId="0" applyFont="1" applyAlignment="1">
      <x:alignment vertical="center" wrapText="1" shrinkToFit="0"/>
    </x:xf>
    <x:xf numFmtId="0" fontId="8" fillId="0" borderId="0" xfId="0" applyFont="1"/>
    <x:xf numFmtId="0" fontId="5" fillId="5" borderId="0" xfId="0" applyFont="1" applyFill="1" applyAlignment="1">
      <x:alignment horizontal="center"/>
    </x:xf>
    <x:xf numFmtId="0" fontId="5" fillId="3" borderId="0" xfId="0" applyFont="1" applyFill="1" applyAlignment="1">
      <x:alignment vertical="center" wrapText="1" shrinkToFit="0"/>
    </x:xf>
    <x:xf numFmtId="0" fontId="5" fillId="3" borderId="0" xfId="0" applyFont="1" applyFill="1" applyAlignment="1">
      <x:alignment vertical="center" wrapText="1" shrinkToFit="0"/>
    </x:xf>
    <x:xf numFmtId="165" fontId="5" fillId="3" borderId="0" xfId="0" applyNumberFormat="1" applyFont="1" applyFill="1" applyAlignment="1">
      <x:alignment horizontal="center"/>
    </x:xf>
    <x:xf numFmtId="166" fontId="6" fillId="6" borderId="0" xfId="0" applyNumberFormat="1" applyFont="1" applyFill="1" applyAlignment="1">
      <x:alignment vertical="center" wrapText="1" shrinkToFit="0"/>
    </x:xf>
    <x:xf numFmtId="1" fontId="6" fillId="6" borderId="0" xfId="0" applyNumberFormat="1" applyFont="1" applyFill="1" applyAlignment="1">
      <x:alignment vertical="center" wrapText="1" shrinkToFit="0"/>
    </x:xf>
    <x:xf numFmtId="0" fontId="9" fillId="0" borderId="0" xfId="0" applyFont="1" applyAlignment="1">
      <x:alignment horizontal="center" vertical="center"/>
    </x:xf>
    <x:xf numFmtId="166" fontId="6" fillId="0" borderId="0" xfId="0" applyNumberFormat="1" applyFont="1" applyAlignment="1">
      <x:alignment vertical="center" wrapText="1" shrinkToFit="0"/>
    </x:xf>
    <x:xf numFmtId="1" fontId="6" fillId="0" borderId="0" xfId="0" applyNumberFormat="1" applyFont="1" applyAlignment="1">
      <x:alignment vertical="center" wrapText="1" shrinkToFit="0"/>
    </x:xf>
    <x:xf numFmtId="0" fontId="10" fillId="7" borderId="0" xfId="0" applyFont="1" applyFill="1" applyAlignment="1">
      <x:alignment vertical="center" wrapText="1" shrinkToFit="0"/>
    </x:xf>
    <x:xf numFmtId="0" fontId="10" fillId="7" borderId="0" xfId="0" applyFont="1" applyFill="1" applyAlignment="1">
      <x:alignment vertical="center" wrapText="1" shrinkToFit="0"/>
    </x:xf>
    <x:xf numFmtId="166" fontId="10" fillId="7" borderId="0" xfId="0" applyNumberFormat="1" applyFont="1" applyFill="1" applyAlignment="1">
      <x:alignment vertical="center" wrapText="1" shrinkToFit="0"/>
    </x:xf>
    <x:xf numFmtId="1" fontId="10" fillId="7" borderId="0" xfId="0" applyNumberFormat="1" applyFont="1" applyFill="1" applyAlignment="1">
      <x:alignment vertical="center" wrapText="1" shrinkToFit="0"/>
    </x:xf>
    <x:xf numFmtId="0" fontId="5" fillId="8" borderId="0" xfId="0" applyNumberFormat="1" applyFont="1" applyFill="1" applyBorder="1"/>
    <x:xf numFmtId="0" fontId="0" fillId="8" borderId="0" xfId="0" applyNumberFormat="1" applyFont="1" applyFill="1" applyBorder="1" applyAlignment="1">
      <x:alignment vertical="bottom" wrapText="0"/>
    </x:xf>
    <x:xf numFmtId="0" fontId="11" fillId="8" borderId="0" xfId="0" applyNumberFormat="1" applyFont="1" applyFill="1" applyBorder="1" applyAlignment="1">
      <x:alignment vertical="bottom" wrapText="0"/>
    </x:xf>
    <x:xf numFmtId="0" fontId="12" fillId="0" borderId="0" xfId="0" applyNumberFormat="1" applyFont="1" applyFill="1" applyBorder="1" applyAlignment="1">
      <x:alignment vertical="bottom" wrapText="0"/>
    </x:xf>
    <x:xf numFmtId="166" fontId="6" fillId="6" borderId="0" xfId="0" applyNumberFormat="1" applyFont="1" applyFill="1" applyBorder="1" applyAlignment="1">
      <x:alignment vertical="center" wrapText="1"/>
    </x:xf>
    <x:xf numFmtId="166" fontId="6" fillId="0" borderId="0" xfId="0" applyNumberFormat="1" applyFont="1" applyFill="1" applyBorder="1" applyAlignment="1">
      <x:alignment vertical="center" wrapText="1"/>
    </x:xf>
    <x:xf numFmtId="166" fontId="0" fillId="0" borderId="0" xfId="0" applyNumberFormat="1" applyFont="1" applyFill="1" applyBorder="1" applyAlignment="1">
      <x:alignment vertical="bottom" wrapText="0"/>
    </x:xf>
    <x:xf numFmtId="0" fontId="6" fillId="6" borderId="0" xfId="0" applyNumberFormat="1" applyFont="1" applyFill="1" applyBorder="1" applyAlignment="1">
      <x:alignment vertical="center" wrapText="1"/>
    </x:xf>
    <x:xf numFmtId="1" fontId="6" fillId="6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166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1"/>
    </x:xf>
    <x:xf numFmtId="1" fontId="6" fillId="0" borderId="0" xfId="0" applyNumberFormat="1" applyFont="1" applyFill="1" applyBorder="1" applyAlignment="1">
      <x:alignment vertical="center" wrapText="1"/>
    </x:xf>
    <x:xf numFmtId="166" fontId="13" fillId="0" borderId="0" xfId="0" applyNumberFormat="1" applyFont="1" applyFill="1" applyBorder="1" applyAlignment="1">
      <x:alignment vertical="center" wrapText="0"/>
    </x:xf>
    <x:xf numFmtId="0" fontId="13" fillId="0" borderId="0" xfId="0" applyNumberFormat="1" applyFont="1" applyFill="1" applyBorder="1" applyAlignment="1">
      <x:alignment vertical="center" wrapText="0"/>
    </x:xf>
    <x:xf numFmtId="166" fontId="13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166" fontId="13" fillId="0" xfId="0" applyNumberFormat="1" applyFont="1" applyFill="1" applyBorder="0" applyAlignment="1">
      <x:alignment vertical="center" wrapText="1"/>
    </x:xf>
    <x:xf numFmtId="0" fontId="13" fillId="0" xfId="0" applyNumberFormat="1" applyFont="1" applyFill="1" applyBorder="0" applyAlignment="1">
      <x:alignment vertical="center" wrapText="1"/>
    </x:xf>
    <x:xf numFmtId="166" fontId="13" fillId="0" borderId="1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165" fontId="5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vertical="bottom" wrapText="0"/>
    </x:xf>
    <x:xf numFmtId="0" fontId="15" fillId="0" borderId="0" xfId="0" applyNumberFormat="1" applyFont="1" applyFill="1" applyBorder="1" applyAlignment="1">
      <x:alignment vertical="bottom" wrapText="0"/>
    </x:xf>
    <x:xf numFmtId="200" fontId="15" fillId="0" borderId="0" xfId="0" applyNumberFormat="1" applyFont="1" applyFill="1" applyBorder="1" applyAlignment="1">
      <x:alignment vertical="bottom" wrapText="0"/>
    </x:xf>
    <x:xf numFmtId="0" fontId="13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14">
    <x:dxf>
      <x:fill>
        <x:patternFill>
          <x:bgColor rgb="FFE8F5EF"/>
        </x:patternFill>
      </x:fill>
      <x:border/>
    </x:dxf>
    <x:dxf>
      <x:fill>
        <x:patternFill>
          <x:bgColor rgb="FFFEE2E2"/>
        </x:patternFill>
      </x:fill>
      <x:border/>
    </x:dxf>
    <x:dxf>
      <x:font>
        <x:b/>
        <x:color rgb="FF16798B"/>
      </x:font>
      <x:fill>
        <x:patternFill>
          <x:bgColor rgb="FFD6EEF1"/>
        </x:patternFill>
      </x:fill>
      <x:border/>
    </x:dxf>
    <x:dxf>
      <x:fill>
        <x:patternFill>
          <x:bgColor rgb="FFD8E8F2"/>
        </x:patternFill>
      </x:fill>
      <x:border/>
    </x:dxf>
    <x:dxf>
      <x:fill>
        <x:patternFill>
          <x:bgColor rgb="FFCBE9E3"/>
        </x:patternFill>
      </x:fill>
      <x:border/>
    </x:dxf>
    <x:dxf>
      <x:fill>
        <x:patternFill>
          <x:bgColor rgb="FFDFE0F5"/>
        </x:patternFill>
      </x:fill>
      <x:border/>
    </x:dxf>
    <x:dxf>
      <x:fill>
        <x:patternFill>
          <x:bgColor rgb="FFF2E1D2"/>
        </x:patternFill>
      </x:fill>
      <x:border/>
    </x:dxf>
    <x:dxf>
      <x:font>
        <x:color rgb="FF246C4D"/>
      </x:font>
      <x:fill>
        <x:patternFill patternType="solid">
          <x:bgColor rgb="FFE5F3EC"/>
        </x:patternFill>
      </x:fill>
    </x:dxf>
    <x:dxf>
      <x:font>
        <x:color rgb="FF9C302B"/>
      </x:font>
      <x:fill>
        <x:patternFill patternType="solid">
          <x:bgColor rgb="FFFCE8E6"/>
        </x:patternFill>
      </x:fill>
    </x:dxf>
    <x:dxf>
      <x:font>
        <x:color rgb="FF806016"/>
      </x:font>
      <x:fill>
        <x:patternFill patternType="solid">
          <x:bgColor rgb="FFFFF1CB"/>
        </x:patternFill>
      </x:fill>
    </x:dxf>
    <x:dxf>
      <x:fill>
        <x:patternFill patternType="solid">
          <x:bgColor rgb="FFD5EEF2"/>
        </x:patternFill>
      </x:fill>
    </x:dxf>
    <x:dxf>
      <x:fill>
        <x:patternFill patternType="solid">
          <x:bgColor rgb="FFDCE8F7"/>
        </x:patternFill>
      </x:fill>
    </x:dxf>
    <x:dxf>
      <x:fill>
        <x:patternFill patternType="solid">
          <x:bgColor rgb="FFFCE6CB"/>
        </x:patternFill>
      </x:fill>
    </x:dxf>
    <x:dxf>
      <x:fill>
        <x:patternFill patternType="solid">
          <x:bgColor rgb="FFE7E0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a7927e486b46ab" /><Relationship Type="http://schemas.openxmlformats.org/officeDocument/2006/relationships/theme" Target="/xl/theme/theme1.xml" Id="Re64fc2f677c846ee" /><Relationship Type="http://schemas.openxmlformats.org/officeDocument/2006/relationships/sharedStrings" Target="/xl/sharedStrings.xml" Id="R3a8d809b65374538" /><Relationship Type="http://schemas.openxmlformats.org/officeDocument/2006/relationships/worksheet" Target="/xl/worksheets/sheet1.xml" Id="Rbfe0e6ef6f0047ca" /><Relationship Type="http://schemas.openxmlformats.org/officeDocument/2006/relationships/worksheet" Target="/xl/worksheets/sheet2.xml" Id="Ra6787787b7a9428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3" width="16" customWidth="1"/>
    <x:col min="4" max="4" width="13" customWidth="1"/>
    <x:col min="5" max="5" width="44" customWidth="1"/>
    <x:col min="6" max="6" width="48" customWidth="1"/>
    <x:col min="7" max="7" width="38" customWidth="1"/>
    <x:col min="8" max="8" width="48" customWidth="1"/>
    <x:col min="9" max="26" width="8.630000114440918" customWidth="1"/>
  </x:cols>
  <x:sheetData>
    <x:row r="1" ht="42" customHeight="1">
      <x:c r="A1" s="1" t="s">
        <x:v>0</x:v>
      </x:c>
    </x:row>
    <x:row r="2" ht="25.5" customHeight="1">
      <x:c r="A2" s="2" t="str">
        <x:v>Ingeniería de Software II. Avance de desarrollo al 16 de octubre de 2026</x:v>
      </x:c>
    </x:row>
    <x:row r="4" ht="28.5" customHeight="1">
      <x:c r="A4" s="3" t="s">
        <x:v>1</x:v>
      </x:c>
      <x:c r="B4" s="4">
        <x:v>46302.0</x:v>
      </x:c>
      <x:c r="C4" s="3" t="s">
        <x:v>2</x:v>
      </x:c>
      <x:c r="D4" s="4">
        <x:v>46357.0</x:v>
      </x:c>
      <x:c r="E4" s="3" t="s">
        <x:v>3</x:v>
      </x:c>
      <x:c r="F4" s="3" t="s">
        <x:v>4</x:v>
      </x:c>
      <x:c r="G4" s="3" t="s">
        <x:v>5</x:v>
      </x:c>
      <x:c r="H4" s="3">
        <x:v>4.0</x:v>
      </x:c>
    </x:row>
    <x:row r="6" ht="24.75" customHeight="1">
      <x:c r="A6" s="5" t="s">
        <x:v>6</x:v>
      </x:c>
    </x:row>
    <x:row r="7" ht="30" customHeight="1">
      <x:c r="A7" s="6" t="s">
        <x:v>7</x:v>
      </x:c>
      <x:c r="B7" s="6" t="s">
        <x:v>1</x:v>
      </x:c>
      <x:c r="C7" s="6" t="s">
        <x:v>8</x:v>
      </x:c>
      <x:c r="D7" s="6" t="s">
        <x:v>9</x:v>
      </x:c>
      <x:c r="E7" s="6" t="s">
        <x:v>10</x:v>
      </x:c>
      <x:c r="F7" s="6" t="s">
        <x:v>11</x:v>
      </x:c>
      <x:c r="G7" s="6" t="s">
        <x:v>12</x:v>
      </x:c>
      <x:c r="H7" s="6" t="s">
        <x:v>13</x:v>
      </x:c>
    </x:row>
    <x:row r="8" ht="88" customHeight="1">
      <x:c r="A8" s="7" t="s">
        <x:v>14</x:v>
      </x:c>
      <x:c r="B8" s="8">
        <x:v>46302.0</x:v>
      </x:c>
      <x:c r="C8" s="8">
        <x:v>46315.0</x:v>
      </x:c>
      <x:c r="D8" s="7" t="s">
        <x:v>15</x:v>
      </x:c>
      <x:c r="E8" s="35" t="str">
        <x:v>Prototipo con ejercicios, editor, ejecución aislada, usuarios e interfaz</x:v>
      </x:c>
      <x:c r="F8" s="35" t="str">
        <x:v>24 actividades de desarrollo incorporadas. Validación del prototipo pendiente</x:v>
      </x:c>
      <x:c r="G8" s="35" t="str">
        <x:v>Ejecutar suites, probar registro/login y verificar ambos editores</x:v>
      </x:c>
      <x:c r="H8" s="35" t="str">
        <x:v>Desarrollo redistribuido desde el 07/10. Evidencias reales entre el 13 y el 16/10.</x:v>
      </x:c>
    </x:row>
    <x:row r="9" ht="88" customHeight="1">
      <x:c r="A9" s="10" t="s">
        <x:v>16</x:v>
      </x:c>
      <x:c r="B9" s="12">
        <x:v>46316.0</x:v>
      </x:c>
      <x:c r="C9" s="12">
        <x:v>46329.0</x:v>
      </x:c>
      <x:c r="D9" s="10" t="s">
        <x:v>17</x:v>
      </x:c>
      <x:c r="E9" s="40" t="str">
        <x:v>Evaluación oficial, persistencia de intentos e integración para producción</x:v>
      </x:c>
      <x:c r="F9" s="40" t="str">
        <x:v>Versión desplegada y validada para pruebas de otros grupos</x:v>
      </x:c>
      <x:c r="G9" s="40" t="str">
        <x:v>Pruebas de aceptación, humo, autenticación, aislamiento y persistencia</x:v>
      </x:c>
      <x:c r="H9" s="40" t="str">
        <x:v>El original menciona entrega académica el 02 o 03/11. Fecha oficial por confirmar.</x:v>
      </x:c>
    </x:row>
    <x:row r="10" ht="88" customHeight="1">
      <x:c r="A10" s="7" t="s">
        <x:v>18</x:v>
      </x:c>
      <x:c r="B10" s="8">
        <x:v>46330.0</x:v>
      </x:c>
      <x:c r="C10" s="8">
        <x:v>46343.0</x:v>
      </x:c>
      <x:c r="D10" s="7" t="s">
        <x:v>19</x:v>
      </x:c>
      <x:c r="E10" s="35" t="str">
        <x:v>Pruebas externas, correcciones y revisión de seguridad</x:v>
      </x:c>
      <x:c r="F10" s="35" t="str">
        <x:v>Incidencias prioritarias corregidas y regresión verificada</x:v>
      </x:c>
      <x:c r="G10" s="35" t="str">
        <x:v>Pruebas externas, adversariales y de regresión</x:v>
      </x:c>
      <x:c r="H10" s="35" t="str">
        <x:v>Trabajo posterior a la entrega para pruebas, del 04 al 17/11.</x:v>
      </x:c>
    </x:row>
    <x:row r="11" ht="88" customHeight="1">
      <x:c r="A11" s="10" t="s">
        <x:v>20</x:v>
      </x:c>
      <x:c r="B11" s="12">
        <x:v>46344.0</x:v>
      </x:c>
      <x:c r="C11" s="12">
        <x:v>46357.0</x:v>
      </x:c>
      <x:c r="D11" s="10" t="s">
        <x:v>21</x:v>
      </x:c>
      <x:c r="E11" s="40" t="str">
        <x:v>Estabilización, despliegue final y demostración</x:v>
      </x:c>
      <x:c r="F11" s="40" t="str">
        <x:v>Versión estable y evidencias de funcionamiento</x:v>
      </x:c>
      <x:c r="G11" s="40" t="str">
        <x:v>Regresión final, seguridad y verificación del despliegue</x:v>
      </x:c>
      <x:c r="H11" s="40" t="str">
        <x:v>Cierre planificado de ocho semanas. No es fecha oficial confirmada.</x:v>
      </x:c>
    </x:row>
    <x:row r="13" ht="24.75" customHeight="1">
      <x:c r="A13" s="5" t="str">
        <x:v>AVANCE DE DESARROLLO AL 16/10/2026</x:v>
      </x:c>
    </x:row>
    <x:row r="14" ht="32" customHeight="1">
      <x:c r="A14" s="54" t="str">
        <x:v>Actividades</x:v>
      </x:c>
      <x:c r="B14" s="54" t="n">
        <x:f>COUNTA('Cronograma'!A6:A49)</x:f>
        <x:v>44</x:v>
      </x:c>
      <x:c r="C14" s="54" t="str">
        <x:v>Hechas</x:v>
      </x:c>
      <x:c r="D14" s="54" t="n">
        <x:f>COUNTIFS('Cronograma'!J6:J49,"Hecho")</x:f>
        <x:v>24</x:v>
      </x:c>
      <x:c r="E14" s="54" t="str">
        <x:v>Pendientes</x:v>
      </x:c>
      <x:c r="F14" s="54" t="n">
        <x:f>COUNTIFS('Cronograma'!J6:J49,"Pendiente")</x:f>
        <x:v>20</x:v>
      </x:c>
      <x:c r="G14" s="54" t="str">
        <x:v>Avance por tareas</x:v>
      </x:c>
      <x:c r="H14" s="55" t="n">
        <x:f>D14/B14</x:f>
        <x:v>0.5454545454545454</x:v>
      </x:c>
    </x:row>
    <x:row r="15" ht="25.5" customHeight="1">
      <x:c r="A15" s="14"/>
    </x:row>
    <x:row r="16" ht="26" customHeight="1">
      <x:c r="A16" s="56" t="str">
        <x:v>Inicio del plan: 07/10/2026. Las fechas del desarrollo terminado se reconstruyeron para distribuirlo entre el 07 y el 16 de octubre.</x:v>
      </x:c>
      <x:c r="B16" s="56"/>
      <x:c r="C16" s="56"/>
      <x:c r="D16" s="56"/>
      <x:c r="E16" s="56"/>
      <x:c r="F16" s="56"/>
      <x:c r="G16" s="56"/>
      <x:c r="H16" s="56"/>
    </x:row>
    <x:row r="17" ht="26" customHeight="1">
      <x:c r="A17" s="56" t="str">
        <x:v>Hecho indica código incorporado a la rama main. La fecha real de cada evidencia está en Cronograma, columnas S a U, en hora de Colombia.</x:v>
      </x:c>
      <x:c r="B17" s="56"/>
      <x:c r="C17" s="56"/>
      <x:c r="D17" s="56"/>
      <x:c r="E17" s="56"/>
      <x:c r="F17" s="56"/>
      <x:c r="G17" s="56"/>
      <x:c r="H17" s="56"/>
    </x:row>
    <x:row r="18" ht="26" customHeight="1">
      <x:c r="A18" s="56" t="str">
        <x:v>Responsables previstos conservados del plan original. Las actividades nuevas se asignan como planificación y no acreditan autoría por commit.</x:v>
      </x:c>
      <x:c r="B18" s="56"/>
      <x:c r="C18" s="56"/>
      <x:c r="D18" s="56"/>
      <x:c r="E18" s="56"/>
      <x:c r="F18" s="56"/>
      <x:c r="G18" s="56"/>
      <x:c r="H18" s="56"/>
    </x:row>
    <x:row r="19" ht="26" customHeight="1">
      <x:c r="A19" s="56" t="str">
        <x:v>El porcentaje cuenta actividades, sin ponderar esfuerzo. No equivale al porcentaje funcional del producto ni a pruebas aprobadas.</x:v>
      </x:c>
      <x:c r="B19" s="56"/>
      <x:c r="C19" s="56"/>
      <x:c r="D19" s="56"/>
      <x:c r="E19" s="56"/>
      <x:c r="F19" s="56"/>
      <x:c r="G19" s="56"/>
      <x:c r="H19" s="56"/>
    </x:row>
    <x:row r="20" ht="15.75" customHeight="1"/>
    <x:row r="21" ht="26" customHeight="1">
      <x:c r="A21" s="56" t="str">
        <x:v>Pendientes principales: evaluación y puntuación, intentos en PostgreSQL, sesiones, validación con gVisor y despliegue.</x:v>
      </x:c>
      <x:c r="B21" s="56"/>
      <x:c r="C21" s="56"/>
      <x:c r="D21" s="56"/>
      <x:c r="E21" s="56"/>
      <x:c r="F21" s="56"/>
      <x:c r="G21" s="56"/>
      <x:c r="H21" s="56"/>
    </x:row>
    <x:row r="22" ht="15.75" customHeight="1"/>
    <x:row r="23" ht="26" customHeight="1">
      <x:c r="A23" s="56" t="str">
        <x:v>Repositorio: https://github.com/NicolasSsC/PyLevel (rama main). Corte de revisión: 16/10/2026, commit 37522da.</x:v>
      </x:c>
      <x:c r="B23" s="56"/>
      <x:c r="C23" s="56"/>
      <x:c r="D23" s="56"/>
      <x:c r="E23" s="56"/>
      <x:c r="F23" s="56"/>
      <x:c r="G23" s="56"/>
      <x:c r="H23" s="56"/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H1"/>
    <x:mergeCell ref="A2:H2"/>
    <x:mergeCell ref="A6:H6"/>
    <x:mergeCell ref="A13:H13"/>
    <x:mergeCell ref="A16:H16"/>
    <x:mergeCell ref="A17:H17"/>
    <x:mergeCell ref="A18:H18"/>
    <x:mergeCell ref="A19:H19"/>
    <x:mergeCell ref="A21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ColWidth="12.630000114440918" defaultRowHeight="15"/>
  <x:cols>
    <x:col min="1" max="1" width="11" customWidth="1"/>
    <x:col min="2" max="2" width="12" customWidth="1"/>
    <x:col min="3" max="3" width="45" hidden="0" customWidth="1"/>
    <x:col min="4" max="4" width="24" customWidth="1"/>
    <x:col min="5" max="6" width="15" customWidth="1"/>
    <x:col min="7" max="7" width="7" customWidth="1"/>
    <x:col min="8" max="8" width="27" hidden="0" customWidth="1"/>
    <x:col min="9" max="9" width="59" hidden="0" customWidth="1"/>
    <x:col min="10" max="10" width="15" customWidth="1"/>
    <x:col min="11" max="18" width="12" customWidth="1"/>
    <x:col min="19" max="25" width="8.630000114440918" customWidth="1"/>
    <x:col min="19" max="19" width="17" hidden="0" customWidth="1"/>
    <x:col min="20" max="20" width="58" hidden="0" customWidth="1"/>
    <x:col min="21" max="21" width="66" hidden="0" customWidth="1"/>
  </x:cols>
  <x:sheetData>
    <x:row r="1" ht="42" customHeight="1">
      <x:c r="A1" s="11" t="s">
        <x:v>22</x:v>
      </x:c>
    </x:row>
    <x:row r="2" ht="24" customHeight="1">
      <x:c r="A2" s="31" t="str">
        <x:v>Fechas del 07 al 16/10 reconstruidas para el plan. Hecho = código incorporado a main. Fecha evidencia = fecha real del commit (Colombia).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</x:row>
    <x:row r="3" ht="24.75" customHeight="1">
      <x:c r="A3" s="5" t="str">
        <x:v>DESARROLLO Y PENDIENTES. FECHAS DEL PLAN DESDE EL 07/10/2026</x:v>
      </x:c>
      <x:c r="K3" s="15" t="s">
        <x:v>23</x:v>
      </x:c>
      <x:c r="S3" s="28" t="str">
        <x:v>EVIDENCIA DEL DESARROLLO AL 16/10/2026</x:v>
      </x:c>
      <x:c r="T3" s="30"/>
      <x:c r="U3" s="30"/>
    </x:row>
    <x:row r="4" ht="19.5" customHeight="1">
      <x:c r="K4" s="15" t="s">
        <x:v>24</x:v>
      </x:c>
      <x:c r="L4" s="15" t="s">
        <x:v>25</x:v>
      </x:c>
      <x:c r="M4" s="15" t="s">
        <x:v>26</x:v>
      </x:c>
      <x:c r="N4" s="15" t="s">
        <x:v>27</x:v>
      </x:c>
      <x:c r="O4" s="15" t="s">
        <x:v>28</x:v>
      </x:c>
      <x:c r="P4" s="15" t="s">
        <x:v>29</x:v>
      </x:c>
      <x:c r="Q4" s="15" t="s">
        <x:v>30</x:v>
      </x:c>
      <x:c r="R4" s="15" t="s">
        <x:v>31</x:v>
      </x:c>
    </x:row>
    <x:row r="5" ht="34" customHeight="1">
      <x:c r="A5" s="51" t="s">
        <x:v>32</x:v>
      </x:c>
      <x:c r="B5" s="51" t="s">
        <x:v>7</x:v>
      </x:c>
      <x:c r="C5" s="51" t="str">
        <x:v>Actividad</x:v>
      </x:c>
      <x:c r="D5" s="51" t="str">
        <x:v>Responsable previsto</x:v>
      </x:c>
      <x:c r="E5" s="51" t="str">
        <x:v>Inicio plan</x:v>
      </x:c>
      <x:c r="F5" s="51" t="str">
        <x:v>Fin plan</x:v>
      </x:c>
      <x:c r="G5" s="51" t="s">
        <x:v>33</x:v>
      </x:c>
      <x:c r="H5" s="51" t="s">
        <x:v>34</x:v>
      </x:c>
      <x:c r="I5" s="51" t="s">
        <x:v>35</x:v>
      </x:c>
      <x:c r="J5" s="51" t="s">
        <x:v>36</x:v>
      </x:c>
      <x:c r="K5" s="52" t="n">
        <x:f>'Resumen'!$B$4</x:f>
        <x:v>46302</x:v>
      </x:c>
      <x:c r="L5" s="52" t="n">
        <x:f>K5+7</x:f>
        <x:v>46309</x:v>
      </x:c>
      <x:c r="M5" s="52" t="n">
        <x:f>L5+7</x:f>
        <x:v>46316</x:v>
      </x:c>
      <x:c r="N5" s="52" t="n">
        <x:f>M5+7</x:f>
        <x:v>46323</x:v>
      </x:c>
      <x:c r="O5" s="52" t="n">
        <x:f>N5+7</x:f>
        <x:v>46330</x:v>
      </x:c>
      <x:c r="P5" s="52" t="n">
        <x:f>O5+7</x:f>
        <x:v>46337</x:v>
      </x:c>
      <x:c r="Q5" s="52" t="n">
        <x:f>P5+7</x:f>
        <x:v>46344</x:v>
      </x:c>
      <x:c r="R5" s="52" t="n">
        <x:f>Q5+7</x:f>
        <x:v>46351</x:v>
      </x:c>
      <x:c r="S5" s="51" t="str">
        <x:v>Fecha evidencia</x:v>
      </x:c>
      <x:c r="T5" s="51" t="str">
        <x:v>Evidencia GitHub</x:v>
      </x:c>
      <x:c r="U5" s="51" t="str">
        <x:v>Alcance / pendiente</x:v>
      </x:c>
    </x:row>
    <x:row r="6" ht="62" customHeight="1">
      <x:c r="A6" s="35" t="str">
        <x:v>BASE-01</x:v>
      </x:c>
      <x:c r="B6" s="35" t="str">
        <x:v>Sprint 1</x:v>
      </x:c>
      <x:c r="C6" s="35" t="str">
        <x:v>Crear repositorio y estructura inicial de Astro</x:v>
      </x:c>
      <x:c r="D6" s="35" t="str">
        <x:v>Nicolas Camacho</x:v>
      </x:c>
      <x:c r="E6" s="32" t="d">
        <x:v>2026-10-07T00:00:00.000Z</x:v>
      </x:c>
      <x:c r="F6" s="32" t="d">
        <x:v>2026-10-08T00:00:00.000Z</x:v>
      </x:c>
      <x:c r="G6" s="36" t="n">
        <x:f>F6-E6+1</x:f>
        <x:v>2</x:v>
      </x:c>
      <x:c r="H6" s="35" t="str">
        <x:v>—</x:v>
      </x:c>
      <x:c r="I6" s="35" t="str">
        <x:v>Proyecto Astro, TypeScript, dependencias y configuración inicial</x:v>
      </x:c>
      <x:c r="J6" s="35" t="str">
        <x:v>Hecho</x:v>
      </x:c>
      <x:c r="K6" s="50" t="str">
        <x:f>IF(AND(K$5&lt;=$F6,K$5+6&gt;=$E6),"■","")</x:f>
        <x:v>■</x:v>
      </x:c>
      <x:c r="L6" s="50" t="str">
        <x:f>IF(AND(L$5&lt;=$F6,L$5+6&gt;=$E6),"■","")</x:f>
      </x:c>
      <x:c r="M6" s="50" t="str">
        <x:f>IF(AND(M$5&lt;=$F6,M$5+6&gt;=$E6),"■","")</x:f>
      </x:c>
      <x:c r="N6" s="50" t="str">
        <x:f>IF(AND(N$5&lt;=$F6,N$5+6&gt;=$E6),"■","")</x:f>
      </x:c>
      <x:c r="O6" s="50" t="str">
        <x:f>IF(AND(O$5&lt;=$F6,O$5+6&gt;=$E6),"■","")</x:f>
      </x:c>
      <x:c r="P6" s="50" t="str">
        <x:f>IF(AND(P$5&lt;=$F6,P$5+6&gt;=$E6),"■","")</x:f>
      </x:c>
      <x:c r="Q6" s="50" t="str">
        <x:f>IF(AND(Q$5&lt;=$F6,Q$5+6&gt;=$E6),"■","")</x:f>
      </x:c>
      <x:c r="R6" s="50" t="str">
        <x:f>IF(AND(R$5&lt;=$F6,R$5+6&gt;=$E6),"■","")</x:f>
      </x:c>
      <x:c r="S6" s="46" t="d">
        <x:v>2026-10-13T00:00:00.000Z</x:v>
      </x:c>
      <x:c r="T6" s="47" t="str">
        <x:v>https://github.com/NicolasSsC/PyLevel/commit/500dbbfa1e6b4f4c8038686ad8041522a3dafd6f</x:v>
      </x:c>
      <x:c r="U6" s="47" t="str">
        <x:v>Incluye inicialización del repositorio (36c1687). Fechas de actividad redistribuidas desde el 07/10.</x:v>
      </x:c>
    </x:row>
    <x:row r="7" ht="62" customHeight="1">
      <x:c r="A7" s="40" t="str">
        <x:v>ALG-01</x:v>
      </x:c>
      <x:c r="B7" s="40" t="str">
        <x:v>Sprint 1</x:v>
      </x:c>
      <x:c r="C7" s="40" t="str">
        <x:v>Definir contrato de ejecución de código Python</x:v>
      </x:c>
      <x:c r="D7" s="35" t="str">
        <x:v>Nicolas Camacho</x:v>
      </x:c>
      <x:c r="E7" s="33" t="d">
        <x:v>2026-10-08T00:00:00.000Z</x:v>
      </x:c>
      <x:c r="F7" s="33" t="d">
        <x:v>2026-10-08T00:00:00.000Z</x:v>
      </x:c>
      <x:c r="G7" s="41" t="n">
        <x:f>F7-E7+1</x:f>
        <x:v>1</x:v>
      </x:c>
      <x:c r="H7" s="40" t="str">
        <x:v>BASE-01</x:v>
      </x:c>
      <x:c r="I7" s="40" t="str">
        <x:v>Solicitud con archivos y acción. Respuesta con estado, salida y código de retorno</x:v>
      </x:c>
      <x:c r="J7" s="40" t="str">
        <x:v>Hecho</x:v>
      </x:c>
      <x:c r="K7" s="50" t="str">
        <x:f>IF(AND(K$5&lt;=$F7,K$5+6&gt;=$E7),"■","")</x:f>
        <x:v>■</x:v>
      </x:c>
      <x:c r="L7" s="50" t="str">
        <x:f>IF(AND(L$5&lt;=$F7,L$5+6&gt;=$E7),"■","")</x:f>
      </x:c>
      <x:c r="M7" s="50" t="str">
        <x:f>IF(AND(M$5&lt;=$F7,M$5+6&gt;=$E7),"■","")</x:f>
      </x:c>
      <x:c r="N7" s="50" t="str">
        <x:f>IF(AND(N$5&lt;=$F7,N$5+6&gt;=$E7),"■","")</x:f>
      </x:c>
      <x:c r="O7" s="50" t="str">
        <x:f>IF(AND(O$5&lt;=$F7,O$5+6&gt;=$E7),"■","")</x:f>
      </x:c>
      <x:c r="P7" s="50" t="str">
        <x:f>IF(AND(P$5&lt;=$F7,P$5+6&gt;=$E7),"■","")</x:f>
      </x:c>
      <x:c r="Q7" s="50" t="str">
        <x:f>IF(AND(Q$5&lt;=$F7,Q$5+6&gt;=$E7),"■","")</x:f>
      </x:c>
      <x:c r="R7" s="50" t="str">
        <x:f>IF(AND(R$5&lt;=$F7,R$5+6&gt;=$E7),"■","")</x:f>
      </x:c>
      <x:c r="S7" s="46" t="d">
        <x:v>2026-10-13T00:00:00.000Z</x:v>
      </x:c>
      <x:c r="T7" s="47" t="str">
        <x:v>https://github.com/NicolasSsC/PyLevel/commit/a55da253dc53af13a53481e341d7c91281c64112</x:v>
      </x:c>
      <x:c r="U7" s="47" t="str">
        <x:v>Contrato de ejecución implementado. La calificación oficial se completa en EVAL-01.</x:v>
      </x:c>
    </x:row>
    <x:row r="8" ht="62" customHeight="1">
      <x:c r="A8" s="35" t="str">
        <x:v>RET-01</x:v>
      </x:c>
      <x:c r="B8" s="35" t="str">
        <x:v>Sprint 1</x:v>
      </x:c>
      <x:c r="C8" s="35" t="str">
        <x:v>Definir reglas de los ejercicios contextualizados</x:v>
      </x:c>
      <x:c r="D8" s="35" t="str">
        <x:v>Nicolas Camacho</x:v>
      </x:c>
      <x:c r="E8" s="32" t="d">
        <x:v>2026-10-08T00:00:00.000Z</x:v>
      </x:c>
      <x:c r="F8" s="32" t="d">
        <x:v>2026-10-09T00:00:00.000Z</x:v>
      </x:c>
      <x:c r="G8" s="36" t="n">
        <x:f>F8-E8+1</x:f>
        <x:v>2</x:v>
      </x:c>
      <x:c r="H8" s="35" t="str">
        <x:v>BASE-01</x:v>
      </x:c>
      <x:c r="I8" s="35" t="str">
        <x:v>Enunciados y reglas de inventario, reservas y pagos de facturas</x:v>
      </x:c>
      <x:c r="J8" s="35" t="str">
        <x:v>Hecho</x:v>
      </x:c>
      <x:c r="K8" s="50" t="str">
        <x:f>IF(AND(K$5&lt;=$F8,K$5+6&gt;=$E8),"■","")</x:f>
        <x:v>■</x:v>
      </x:c>
      <x:c r="L8" s="50" t="str">
        <x:f>IF(AND(L$5&lt;=$F8,L$5+6&gt;=$E8),"■","")</x:f>
      </x:c>
      <x:c r="M8" s="50" t="str">
        <x:f>IF(AND(M$5&lt;=$F8,M$5+6&gt;=$E8),"■","")</x:f>
      </x:c>
      <x:c r="N8" s="50" t="str">
        <x:f>IF(AND(N$5&lt;=$F8,N$5+6&gt;=$E8),"■","")</x:f>
      </x:c>
      <x:c r="O8" s="50" t="str">
        <x:f>IF(AND(O$5&lt;=$F8,O$5+6&gt;=$E8),"■","")</x:f>
      </x:c>
      <x:c r="P8" s="50" t="str">
        <x:f>IF(AND(P$5&lt;=$F8,P$5+6&gt;=$E8),"■","")</x:f>
      </x:c>
      <x:c r="Q8" s="50" t="str">
        <x:f>IF(AND(Q$5&lt;=$F8,Q$5+6&gt;=$E8),"■","")</x:f>
      </x:c>
      <x:c r="R8" s="50" t="str">
        <x:f>IF(AND(R$5&lt;=$F8,R$5+6&gt;=$E8),"■","")</x:f>
      </x:c>
      <x:c r="S8" s="46" t="d">
        <x:v>2026-10-13T00:00:00.000Z</x:v>
      </x:c>
      <x:c r="T8" s="47" t="str">
        <x:v>https://github.com/NicolasSsC/PyLevel/commit/a55da253dc53af13a53481e341d7c91281c64112</x:v>
      </x:c>
      <x:c r="U8" s="47" t="str">
        <x:v>Reglas incluidas en exercises.json.</x:v>
      </x:c>
    </x:row>
    <x:row r="9" ht="62" customHeight="1">
      <x:c r="A9" s="40" t="str">
        <x:v>RET-02</x:v>
      </x:c>
      <x:c r="B9" s="40" t="str">
        <x:v>Sprint 1</x:v>
      </x:c>
      <x:c r="C9" s="40" t="str">
        <x:v>Incorporar tres proyectos Python con defectos</x:v>
      </x:c>
      <x:c r="D9" s="35" t="str">
        <x:v>Juan Carvajal / Camilo Jaimes</x:v>
      </x:c>
      <x:c r="E9" s="33" t="d">
        <x:v>2026-10-09T00:00:00.000Z</x:v>
      </x:c>
      <x:c r="F9" s="33" t="d">
        <x:v>2026-10-10T00:00:00.000Z</x:v>
      </x:c>
      <x:c r="G9" s="41" t="n">
        <x:f>F9-E9+1</x:f>
        <x:v>2</x:v>
      </x:c>
      <x:c r="H9" s="40" t="str">
        <x:v>RET-01</x:v>
      </x:c>
      <x:c r="I9" s="40" t="str">
        <x:v>Inventario, agenda de salas y facturación, con archivos iniciales y salidas esperadas</x:v>
      </x:c>
      <x:c r="J9" s="40" t="str">
        <x:v>Hecho</x:v>
      </x:c>
      <x:c r="K9" s="50" t="str">
        <x:f>IF(AND(K$5&lt;=$F9,K$5+6&gt;=$E9),"■","")</x:f>
        <x:v>■</x:v>
      </x:c>
      <x:c r="L9" s="50" t="str">
        <x:f>IF(AND(L$5&lt;=$F9,L$5+6&gt;=$E9),"■","")</x:f>
      </x:c>
      <x:c r="M9" s="50" t="str">
        <x:f>IF(AND(M$5&lt;=$F9,M$5+6&gt;=$E9),"■","")</x:f>
      </x:c>
      <x:c r="N9" s="50" t="str">
        <x:f>IF(AND(N$5&lt;=$F9,N$5+6&gt;=$E9),"■","")</x:f>
      </x:c>
      <x:c r="O9" s="50" t="str">
        <x:f>IF(AND(O$5&lt;=$F9,O$5+6&gt;=$E9),"■","")</x:f>
      </x:c>
      <x:c r="P9" s="50" t="str">
        <x:f>IF(AND(P$5&lt;=$F9,P$5+6&gt;=$E9),"■","")</x:f>
      </x:c>
      <x:c r="Q9" s="50" t="str">
        <x:f>IF(AND(Q$5&lt;=$F9,Q$5+6&gt;=$E9),"■","")</x:f>
      </x:c>
      <x:c r="R9" s="50" t="str">
        <x:f>IF(AND(R$5&lt;=$F9,R$5+6&gt;=$E9),"■","")</x:f>
      </x:c>
      <x:c r="S9" s="46" t="d">
        <x:v>2026-10-13T00:00:00.000Z</x:v>
      </x:c>
      <x:c r="T9" s="47" t="str">
        <x:v>https://github.com/NicolasSsC/PyLevel/commit/a55da253dc53af13a53481e341d7c91281c64112</x:v>
      </x:c>
      <x:c r="U9" s="47" t="str">
        <x:v>Material de práctica con defectos intencionales. No representa soluciones aprobadas.</x:v>
      </x:c>
    </x:row>
    <x:row r="10" ht="62" customHeight="1">
      <x:c r="A10" s="35" t="str">
        <x:v>UI-01</x:v>
      </x:c>
      <x:c r="B10" s="35" t="str">
        <x:v>Sprint 1</x:v>
      </x:c>
      <x:c r="C10" s="35" t="str">
        <x:v>Implementar editor de proyectos contextualizados</x:v>
      </x:c>
      <x:c r="D10" s="35" t="str">
        <x:v>Juan Carvajal / Camilo Jaimes</x:v>
      </x:c>
      <x:c r="E10" s="32" t="d">
        <x:v>2026-10-10T00:00:00.000Z</x:v>
      </x:c>
      <x:c r="F10" s="32" t="d">
        <x:v>2026-10-12T00:00:00.000Z</x:v>
      </x:c>
      <x:c r="G10" s="36" t="n">
        <x:f>F10-E10+1</x:f>
        <x:v>3</x:v>
      </x:c>
      <x:c r="H10" s="35" t="str">
        <x:v>RET-02</x:v>
      </x:c>
      <x:c r="I10" s="35" t="str">
        <x:v>Explorador de archivos, editor, terminal y acciones de ejecutar, probar y detener</x:v>
      </x:c>
      <x:c r="J10" s="35" t="str">
        <x:v>Hecho</x:v>
      </x:c>
      <x:c r="K10" s="50" t="str">
        <x:f>IF(AND(K$5&lt;=$F10,K$5+6&gt;=$E10),"■","")</x:f>
        <x:v>■</x:v>
      </x:c>
      <x:c r="L10" s="50" t="str">
        <x:f>IF(AND(L$5&lt;=$F10,L$5+6&gt;=$E10),"■","")</x:f>
      </x:c>
      <x:c r="M10" s="50" t="str">
        <x:f>IF(AND(M$5&lt;=$F10,M$5+6&gt;=$E10),"■","")</x:f>
      </x:c>
      <x:c r="N10" s="50" t="str">
        <x:f>IF(AND(N$5&lt;=$F10,N$5+6&gt;=$E10),"■","")</x:f>
      </x:c>
      <x:c r="O10" s="50" t="str">
        <x:f>IF(AND(O$5&lt;=$F10,O$5+6&gt;=$E10),"■","")</x:f>
      </x:c>
      <x:c r="P10" s="50" t="str">
        <x:f>IF(AND(P$5&lt;=$F10,P$5+6&gt;=$E10),"■","")</x:f>
      </x:c>
      <x:c r="Q10" s="50" t="str">
        <x:f>IF(AND(Q$5&lt;=$F10,Q$5+6&gt;=$E10),"■","")</x:f>
      </x:c>
      <x:c r="R10" s="50" t="str">
        <x:f>IF(AND(R$5&lt;=$F10,R$5+6&gt;=$E10),"■","")</x:f>
      </x:c>
      <x:c r="S10" s="46" t="d">
        <x:v>2026-10-13T00:00:00.000Z</x:v>
      </x:c>
      <x:c r="T10" s="47" t="str">
        <x:v>https://github.com/NicolasSsC/PyLevel/commit/a55da253dc53af13a53481e341d7c91281c64112</x:v>
      </x:c>
      <x:c r="U10" s="47" t="str">
        <x:v>Implementación del prototipo. Validación de ejecución pendiente en QA-INT.</x:v>
      </x:c>
    </x:row>
    <x:row r="11" ht="62" customHeight="1">
      <x:c r="A11" s="40" t="str">
        <x:v>WS-01</x:v>
      </x:c>
      <x:c r="B11" s="40" t="str">
        <x:v>Sprint 1</x:v>
      </x:c>
      <x:c r="C11" s="40" t="str">
        <x:v>Guardar y recuperar borradores por ejercicio</x:v>
      </x:c>
      <x:c r="D11" s="35" t="str">
        <x:v>Nicolas Camacho</x:v>
      </x:c>
      <x:c r="E11" s="33" t="d">
        <x:v>2026-10-10T00:00:00.000Z</x:v>
      </x:c>
      <x:c r="F11" s="33" t="d">
        <x:v>2026-10-12T00:00:00.000Z</x:v>
      </x:c>
      <x:c r="G11" s="41" t="n">
        <x:f>F11-E11+1</x:f>
        <x:v>3</x:v>
      </x:c>
      <x:c r="H11" s="40" t="str">
        <x:v>UI-01</x:v>
      </x:c>
      <x:c r="I11" s="40" t="str">
        <x:v>Persistencia de archivos en localStorage y recuperación del trabajo</x:v>
      </x:c>
      <x:c r="J11" s="40" t="str">
        <x:v>Hecho</x:v>
      </x:c>
      <x:c r="K11" s="50" t="str">
        <x:f>IF(AND(K$5&lt;=$F11,K$5+6&gt;=$E11),"■","")</x:f>
        <x:v>■</x:v>
      </x:c>
      <x:c r="L11" s="50" t="str">
        <x:f>IF(AND(L$5&lt;=$F11,L$5+6&gt;=$E11),"■","")</x:f>
      </x:c>
      <x:c r="M11" s="50" t="str">
        <x:f>IF(AND(M$5&lt;=$F11,M$5+6&gt;=$E11),"■","")</x:f>
      </x:c>
      <x:c r="N11" s="50" t="str">
        <x:f>IF(AND(N$5&lt;=$F11,N$5+6&gt;=$E11),"■","")</x:f>
      </x:c>
      <x:c r="O11" s="50" t="str">
        <x:f>IF(AND(O$5&lt;=$F11,O$5+6&gt;=$E11),"■","")</x:f>
      </x:c>
      <x:c r="P11" s="50" t="str">
        <x:f>IF(AND(P$5&lt;=$F11,P$5+6&gt;=$E11),"■","")</x:f>
      </x:c>
      <x:c r="Q11" s="50" t="str">
        <x:f>IF(AND(Q$5&lt;=$F11,Q$5+6&gt;=$E11),"■","")</x:f>
      </x:c>
      <x:c r="R11" s="50" t="str">
        <x:f>IF(AND(R$5&lt;=$F11,R$5+6&gt;=$E11),"■","")</x:f>
      </x:c>
      <x:c r="S11" s="46" t="d">
        <x:v>2026-10-13T00:00:00.000Z</x:v>
      </x:c>
      <x:c r="T11" s="47" t="str">
        <x:v>https://github.com/NicolasSsC/PyLevel/commit/a55da253dc53af13a53481e341d7c91281c64112</x:v>
      </x:c>
      <x:c r="U11" s="47" t="str">
        <x:v>Persistencia local del navegador. No incluye intentos en PostgreSQL.</x:v>
      </x:c>
    </x:row>
    <x:row r="12" ht="62" customHeight="1">
      <x:c r="A12" s="35" t="str">
        <x:v>SEC-01</x:v>
      </x:c>
      <x:c r="B12" s="35" t="str">
        <x:v>Sprint 1</x:v>
      </x:c>
      <x:c r="C12" s="35" t="str">
        <x:v>Implementar prototipo de ejecutor con Docker y gVisor</x:v>
      </x:c>
      <x:c r="D12" s="35" t="str">
        <x:v>Nicolas Camacho</x:v>
      </x:c>
      <x:c r="E12" s="32" t="d">
        <x:v>2026-10-11T00:00:00.000Z</x:v>
      </x:c>
      <x:c r="F12" s="32" t="d">
        <x:v>2026-10-13T00:00:00.000Z</x:v>
      </x:c>
      <x:c r="G12" s="36" t="n">
        <x:f>F12-E12+1</x:f>
        <x:v>3</x:v>
      </x:c>
      <x:c r="H12" s="35" t="str">
        <x:v>ALG-01, RET-02</x:v>
      </x:c>
      <x:c r="I12" s="35" t="str">
        <x:v>Contenedor por envío, límites de recursos, salida limitada y eliminación al terminar</x:v>
      </x:c>
      <x:c r="J12" s="35" t="str">
        <x:v>Hecho</x:v>
      </x:c>
      <x:c r="K12" s="50" t="str">
        <x:f>IF(AND(K$5&lt;=$F12,K$5+6&gt;=$E12),"■","")</x:f>
        <x:v>■</x:v>
      </x:c>
      <x:c r="L12" s="50" t="str">
        <x:f>IF(AND(L$5&lt;=$F12,L$5+6&gt;=$E12),"■","")</x:f>
      </x:c>
      <x:c r="M12" s="50" t="str">
        <x:f>IF(AND(M$5&lt;=$F12,M$5+6&gt;=$E12),"■","")</x:f>
      </x:c>
      <x:c r="N12" s="50" t="str">
        <x:f>IF(AND(N$5&lt;=$F12,N$5+6&gt;=$E12),"■","")</x:f>
      </x:c>
      <x:c r="O12" s="50" t="str">
        <x:f>IF(AND(O$5&lt;=$F12,O$5+6&gt;=$E12),"■","")</x:f>
      </x:c>
      <x:c r="P12" s="50" t="str">
        <x:f>IF(AND(P$5&lt;=$F12,P$5+6&gt;=$E12),"■","")</x:f>
      </x:c>
      <x:c r="Q12" s="50" t="str">
        <x:f>IF(AND(Q$5&lt;=$F12,Q$5+6&gt;=$E12),"■","")</x:f>
      </x:c>
      <x:c r="R12" s="50" t="str">
        <x:f>IF(AND(R$5&lt;=$F12,R$5+6&gt;=$E12),"■","")</x:f>
      </x:c>
      <x:c r="S12" s="46" t="d">
        <x:v>2026-10-13T00:00:00.000Z</x:v>
      </x:c>
      <x:c r="T12" s="47" t="str">
        <x:v>https://github.com/NicolasSsC/PyLevel/commit/a55da253dc53af13a53481e341d7c91281c64112</x:v>
      </x:c>
      <x:c r="U12" s="47" t="str">
        <x:v>Código del supervisor y Dockerfile. Funcionamiento con runsc pendiente de comprobar.</x:v>
      </x:c>
    </x:row>
    <x:row r="13" ht="62" customHeight="1">
      <x:c r="A13" s="40" t="str">
        <x:v>SEC-02</x:v>
      </x:c>
      <x:c r="B13" s="40" t="str">
        <x:v>Sprint 1</x:v>
      </x:c>
      <x:c r="C13" s="40" t="str">
        <x:v>Conectar interfaz y ejecutor mediante API de desarrollo</x:v>
      </x:c>
      <x:c r="D13" s="35" t="str">
        <x:v>Nicolas Camacho</x:v>
      </x:c>
      <x:c r="E13" s="33" t="d">
        <x:v>2026-10-13T00:00:00.000Z</x:v>
      </x:c>
      <x:c r="F13" s="33" t="d">
        <x:v>2026-10-13T00:00:00.000Z</x:v>
      </x:c>
      <x:c r="G13" s="41" t="n">
        <x:f>F13-E13+1</x:f>
        <x:v>1</x:v>
      </x:c>
      <x:c r="H13" s="40" t="str">
        <x:v>UI-01, SEC-01</x:v>
      </x:c>
      <x:c r="I13" s="40" t="str">
        <x:v>Puente HTTP de ejecución, cancelación y control de una solicitud simultánea</x:v>
      </x:c>
      <x:c r="J13" s="40" t="str">
        <x:v>Hecho</x:v>
      </x:c>
      <x:c r="K13" s="50" t="str">
        <x:f>IF(AND(K$5&lt;=$F13,K$5+6&gt;=$E13),"■","")</x:f>
        <x:v>■</x:v>
      </x:c>
      <x:c r="L13" s="50" t="str">
        <x:f>IF(AND(L$5&lt;=$F13,L$5+6&gt;=$E13),"■","")</x:f>
      </x:c>
      <x:c r="M13" s="50" t="str">
        <x:f>IF(AND(M$5&lt;=$F13,M$5+6&gt;=$E13),"■","")</x:f>
      </x:c>
      <x:c r="N13" s="50" t="str">
        <x:f>IF(AND(N$5&lt;=$F13,N$5+6&gt;=$E13),"■","")</x:f>
      </x:c>
      <x:c r="O13" s="50" t="str">
        <x:f>IF(AND(O$5&lt;=$F13,O$5+6&gt;=$E13),"■","")</x:f>
      </x:c>
      <x:c r="P13" s="50" t="str">
        <x:f>IF(AND(P$5&lt;=$F13,P$5+6&gt;=$E13),"■","")</x:f>
      </x:c>
      <x:c r="Q13" s="50" t="str">
        <x:f>IF(AND(Q$5&lt;=$F13,Q$5+6&gt;=$E13),"■","")</x:f>
      </x:c>
      <x:c r="R13" s="50" t="str">
        <x:f>IF(AND(R$5&lt;=$F13,R$5+6&gt;=$E13),"■","")</x:f>
      </x:c>
      <x:c r="S13" s="46" t="d">
        <x:v>2026-10-13T00:00:00.000Z</x:v>
      </x:c>
      <x:c r="T13" s="47" t="str">
        <x:v>https://github.com/NicolasSsC/PyLevel/commit/a55da253dc53af13a53481e341d7c91281c64112</x:v>
      </x:c>
      <x:c r="U13" s="47" t="str">
        <x:v>Puente solo de desarrollo. API autenticada, cola y cuotas de producción pendientes.</x:v>
      </x:c>
    </x:row>
    <x:row r="14" ht="62" customHeight="1">
      <x:c r="A14" s="35" t="str">
        <x:v>QA-DEV</x:v>
      </x:c>
      <x:c r="B14" s="35" t="str">
        <x:v>Sprint 1</x:v>
      </x:c>
      <x:c r="C14" s="35" t="str">
        <x:v>Agregar pruebas automatizadas del ejecutor</x:v>
      </x:c>
      <x:c r="D14" s="35" t="str">
        <x:v>Nicolas Camacho</x:v>
      </x:c>
      <x:c r="E14" s="32" t="d">
        <x:v>2026-10-13T00:00:00.000Z</x:v>
      </x:c>
      <x:c r="F14" s="32" t="d">
        <x:v>2026-10-13T00:00:00.000Z</x:v>
      </x:c>
      <x:c r="G14" s="36" t="n">
        <x:f>F14-E14+1</x:f>
        <x:v>1</x:v>
      </x:c>
      <x:c r="H14" s="35" t="str">
        <x:v>SEC-01</x:v>
      </x:c>
      <x:c r="I14" s="35" t="str">
        <x:v>Suite para múltiples archivos, restricciones, timeout, salida y rutas inválidas</x:v>
      </x:c>
      <x:c r="J14" s="35" t="str">
        <x:v>Hecho</x:v>
      </x:c>
      <x:c r="K14" s="50" t="str">
        <x:f>IF(AND(K$5&lt;=$F14,K$5+6&gt;=$E14),"■","")</x:f>
        <x:v>■</x:v>
      </x:c>
      <x:c r="L14" s="50" t="str">
        <x:f>IF(AND(L$5&lt;=$F14,L$5+6&gt;=$E14),"■","")</x:f>
      </x:c>
      <x:c r="M14" s="50" t="str">
        <x:f>IF(AND(M$5&lt;=$F14,M$5+6&gt;=$E14),"■","")</x:f>
      </x:c>
      <x:c r="N14" s="50" t="str">
        <x:f>IF(AND(N$5&lt;=$F14,N$5+6&gt;=$E14),"■","")</x:f>
      </x:c>
      <x:c r="O14" s="50" t="str">
        <x:f>IF(AND(O$5&lt;=$F14,O$5+6&gt;=$E14),"■","")</x:f>
      </x:c>
      <x:c r="P14" s="50" t="str">
        <x:f>IF(AND(P$5&lt;=$F14,P$5+6&gt;=$E14),"■","")</x:f>
      </x:c>
      <x:c r="Q14" s="50" t="str">
        <x:f>IF(AND(Q$5&lt;=$F14,Q$5+6&gt;=$E14),"■","")</x:f>
      </x:c>
      <x:c r="R14" s="50" t="str">
        <x:f>IF(AND(R$5&lt;=$F14,R$5+6&gt;=$E14),"■","")</x:f>
      </x:c>
      <x:c r="S14" s="46" t="d">
        <x:v>2026-10-13T00:00:00.000Z</x:v>
      </x:c>
      <x:c r="T14" s="47" t="str">
        <x:v>https://github.com/NicolasSsC/PyLevel/commit/a55da253dc53af13a53481e341d7c91281c64112</x:v>
      </x:c>
      <x:c r="U14" s="47" t="str">
        <x:v>Pruebas versionadas en runner/test_runner.py. No se acredita ejecución satisfactoria.</x:v>
      </x:c>
    </x:row>
    <x:row r="15" ht="62" customHeight="1">
      <x:c r="A15" s="40" t="str">
        <x:v>QA-01</x:v>
      </x:c>
      <x:c r="B15" s="40" t="str">
        <x:v>Sprint 1</x:v>
      </x:c>
      <x:c r="C15" s="40" t="str">
        <x:v>Agregar pruebas públicas y casos límite a los retos</x:v>
      </x:c>
      <x:c r="D15" s="35" t="str">
        <x:v>Santiago Cuervo</x:v>
      </x:c>
      <x:c r="E15" s="33" t="d">
        <x:v>2026-10-13T00:00:00.000Z</x:v>
      </x:c>
      <x:c r="F15" s="33" t="d">
        <x:v>2026-10-13T00:00:00.000Z</x:v>
      </x:c>
      <x:c r="G15" s="41" t="n">
        <x:f>F15-E15+1</x:f>
        <x:v>1</x:v>
      </x:c>
      <x:c r="H15" s="40" t="str">
        <x:v>RET-02</x:v>
      </x:c>
      <x:c r="I15" s="40" t="str">
        <x:v>Pruebas públicas por proyecto y criterios de aceptación en los enunciados</x:v>
      </x:c>
      <x:c r="J15" s="40" t="str">
        <x:v>Hecho</x:v>
      </x:c>
      <x:c r="K15" s="50" t="str">
        <x:f>IF(AND(K$5&lt;=$F15,K$5+6&gt;=$E15),"■","")</x:f>
        <x:v>■</x:v>
      </x:c>
      <x:c r="L15" s="50" t="str">
        <x:f>IF(AND(L$5&lt;=$F15,L$5+6&gt;=$E15),"■","")</x:f>
      </x:c>
      <x:c r="M15" s="50" t="str">
        <x:f>IF(AND(M$5&lt;=$F15,M$5+6&gt;=$E15),"■","")</x:f>
      </x:c>
      <x:c r="N15" s="50" t="str">
        <x:f>IF(AND(N$5&lt;=$F15,N$5+6&gt;=$E15),"■","")</x:f>
      </x:c>
      <x:c r="O15" s="50" t="str">
        <x:f>IF(AND(O$5&lt;=$F15,O$5+6&gt;=$E15),"■","")</x:f>
      </x:c>
      <x:c r="P15" s="50" t="str">
        <x:f>IF(AND(P$5&lt;=$F15,P$5+6&gt;=$E15),"■","")</x:f>
      </x:c>
      <x:c r="Q15" s="50" t="str">
        <x:f>IF(AND(Q$5&lt;=$F15,Q$5+6&gt;=$E15),"■","")</x:f>
      </x:c>
      <x:c r="R15" s="50" t="str">
        <x:f>IF(AND(R$5&lt;=$F15,R$5+6&gt;=$E15),"■","")</x:f>
      </x:c>
      <x:c r="S15" s="46" t="d">
        <x:v>2026-10-13T00:00:00.000Z</x:v>
      </x:c>
      <x:c r="T15" s="47" t="str">
        <x:v>https://github.com/NicolasSsC/PyLevel/commit/a55da253dc53af13a53481e341d7c91281c64112</x:v>
      </x:c>
      <x:c r="U15" s="47" t="str">
        <x:v>Se registra la creación de las pruebas. Ejecución y resultados pendientes en QA-INT.</x:v>
      </x:c>
    </x:row>
    <x:row r="16" ht="62" customHeight="1">
      <x:c r="A16" s="35" t="str">
        <x:v>ALG-03</x:v>
      </x:c>
      <x:c r="B16" s="35" t="str">
        <x:v>Sprint 1</x:v>
      </x:c>
      <x:c r="C16" s="35" t="str">
        <x:v>Implementar formato de resultados de ejecución</x:v>
      </x:c>
      <x:c r="D16" s="35" t="str">
        <x:v>Nicolas Camacho</x:v>
      </x:c>
      <x:c r="E16" s="32" t="d">
        <x:v>2026-10-13T00:00:00.000Z</x:v>
      </x:c>
      <x:c r="F16" s="32" t="d">
        <x:v>2026-10-13T00:00:00.000Z</x:v>
      </x:c>
      <x:c r="G16" s="36" t="n">
        <x:f>F16-E16+1</x:f>
        <x:v>1</x:v>
      </x:c>
      <x:c r="H16" s="35" t="str">
        <x:v>ALG-01, SEC-02</x:v>
      </x:c>
      <x:c r="I16" s="35" t="str">
        <x:v>Estado de ejecución, terminal y código de salida integrados con el cliente</x:v>
      </x:c>
      <x:c r="J16" s="35" t="str">
        <x:v>Hecho</x:v>
      </x:c>
      <x:c r="K16" s="50" t="str">
        <x:f>IF(AND(K$5&lt;=$F16,K$5+6&gt;=$E16),"■","")</x:f>
        <x:v>■</x:v>
      </x:c>
      <x:c r="L16" s="50" t="str">
        <x:f>IF(AND(L$5&lt;=$F16,L$5+6&gt;=$E16),"■","")</x:f>
      </x:c>
      <x:c r="M16" s="50" t="str">
        <x:f>IF(AND(M$5&lt;=$F16,M$5+6&gt;=$E16),"■","")</x:f>
      </x:c>
      <x:c r="N16" s="50" t="str">
        <x:f>IF(AND(N$5&lt;=$F16,N$5+6&gt;=$E16),"■","")</x:f>
      </x:c>
      <x:c r="O16" s="50" t="str">
        <x:f>IF(AND(O$5&lt;=$F16,O$5+6&gt;=$E16),"■","")</x:f>
      </x:c>
      <x:c r="P16" s="50" t="str">
        <x:f>IF(AND(P$5&lt;=$F16,P$5+6&gt;=$E16),"■","")</x:f>
      </x:c>
      <x:c r="Q16" s="50" t="str">
        <x:f>IF(AND(Q$5&lt;=$F16,Q$5+6&gt;=$E16),"■","")</x:f>
      </x:c>
      <x:c r="R16" s="50" t="str">
        <x:f>IF(AND(R$5&lt;=$F16,R$5+6&gt;=$E16),"■","")</x:f>
      </x:c>
      <x:c r="S16" s="46" t="d">
        <x:v>2026-10-13T00:00:00.000Z</x:v>
      </x:c>
      <x:c r="T16" s="47" t="str">
        <x:v>https://github.com/NicolasSsC/PyLevel/commit/a55da253dc53af13a53481e341d7c91281c64112</x:v>
      </x:c>
      <x:c r="U16" s="47" t="str">
        <x:v>No incluye puntuación, pruebas ocultas ni penalización por pistas.</x:v>
      </x:c>
    </x:row>
    <x:row r="17" ht="62" customHeight="1">
      <x:c r="A17" s="40" t="str">
        <x:v>CAT-01</x:v>
      </x:c>
      <x:c r="B17" s="40" t="str">
        <x:v>Sprint 1</x:v>
      </x:c>
      <x:c r="C17" s="40" t="str">
        <x:v>Crear catálogo de cinco ejercicios clásicos</x:v>
      </x:c>
      <x:c r="D17" s="35" t="str">
        <x:v>Nicolas Camacho</x:v>
      </x:c>
      <x:c r="E17" s="33" t="d">
        <x:v>2026-10-13T00:00:00.000Z</x:v>
      </x:c>
      <x:c r="F17" s="33" t="d">
        <x:v>2026-10-14T00:00:00.000Z</x:v>
      </x:c>
      <x:c r="G17" s="41" t="n">
        <x:f>F17-E17+1</x:f>
        <x:v>2</x:v>
      </x:c>
      <x:c r="H17" s="40" t="str">
        <x:v>RET-02</x:v>
      </x:c>
      <x:c r="I17" s="40" t="str">
        <x:v>Operadores lógicos, for, if, Bubble Sort y lambdas con ejemplos, pistas y pruebas</x:v>
      </x:c>
      <x:c r="J17" s="40" t="str">
        <x:v>Hecho</x:v>
      </x:c>
      <x:c r="K17" s="50" t="str">
        <x:f>IF(AND(K$5&lt;=$F17,K$5+6&gt;=$E17),"■","")</x:f>
        <x:v>■</x:v>
      </x:c>
      <x:c r="L17" s="50" t="str">
        <x:f>IF(AND(L$5&lt;=$F17,L$5+6&gt;=$E17),"■","")</x:f>
        <x:v>■</x:v>
      </x:c>
      <x:c r="M17" s="50" t="str">
        <x:f>IF(AND(M$5&lt;=$F17,M$5+6&gt;=$E17),"■","")</x:f>
      </x:c>
      <x:c r="N17" s="50" t="str">
        <x:f>IF(AND(N$5&lt;=$F17,N$5+6&gt;=$E17),"■","")</x:f>
      </x:c>
      <x:c r="O17" s="50" t="str">
        <x:f>IF(AND(O$5&lt;=$F17,O$5+6&gt;=$E17),"■","")</x:f>
      </x:c>
      <x:c r="P17" s="50" t="str">
        <x:f>IF(AND(P$5&lt;=$F17,P$5+6&gt;=$E17),"■","")</x:f>
      </x:c>
      <x:c r="Q17" s="50" t="str">
        <x:f>IF(AND(Q$5&lt;=$F17,Q$5+6&gt;=$E17),"■","")</x:f>
      </x:c>
      <x:c r="R17" s="50" t="str">
        <x:f>IF(AND(R$5&lt;=$F17,R$5+6&gt;=$E17),"■","")</x:f>
      </x:c>
      <x:c r="S17" s="46" t="d">
        <x:v>2026-10-15T00:00:00.000Z</x:v>
      </x:c>
      <x:c r="T17" s="47" t="str">
        <x:v>https://github.com/NicolasSsC/PyLevel/commit/cdc9a5ba940aff02812ba33be2a849f7bebc62c3</x:v>
      </x:c>
      <x:c r="U17" s="47" t="str">
        <x:v>Pruebas públicas de práctica. No certifican la técnica empleada por el estudiante.</x:v>
      </x:c>
    </x:row>
    <x:row r="18" ht="62" customHeight="1">
      <x:c r="A18" s="35" t="str">
        <x:v>UI-02</x:v>
      </x:c>
      <x:c r="B18" s="35" t="str">
        <x:v>Sprint 1</x:v>
      </x:c>
      <x:c r="C18" s="35" t="str">
        <x:v>Implementar editor de ejercicios clásicos</x:v>
      </x:c>
      <x:c r="D18" s="35" t="str">
        <x:v>Nicolas Camacho</x:v>
      </x:c>
      <x:c r="E18" s="32" t="d">
        <x:v>2026-10-14T00:00:00.000Z</x:v>
      </x:c>
      <x:c r="F18" s="32" t="d">
        <x:v>2026-10-14T00:00:00.000Z</x:v>
      </x:c>
      <x:c r="G18" s="36" t="n">
        <x:f>F18-E18+1</x:f>
        <x:v>1</x:v>
      </x:c>
      <x:c r="H18" s="35" t="str">
        <x:v>CAT-01, ALG-03</x:v>
      </x:c>
      <x:c r="I18" s="35" t="str">
        <x:v>Enunciado, salida esperada, editor único, pistas y terminal</x:v>
      </x:c>
      <x:c r="J18" s="35" t="str">
        <x:v>Hecho</x:v>
      </x:c>
      <x:c r="K18" s="50" t="str">
        <x:f>IF(AND(K$5&lt;=$F18,K$5+6&gt;=$E18),"■","")</x:f>
      </x:c>
      <x:c r="L18" s="50" t="str">
        <x:f>IF(AND(L$5&lt;=$F18,L$5+6&gt;=$E18),"■","")</x:f>
        <x:v>■</x:v>
      </x:c>
      <x:c r="M18" s="50" t="str">
        <x:f>IF(AND(M$5&lt;=$F18,M$5+6&gt;=$E18),"■","")</x:f>
      </x:c>
      <x:c r="N18" s="50" t="str">
        <x:f>IF(AND(N$5&lt;=$F18,N$5+6&gt;=$E18),"■","")</x:f>
      </x:c>
      <x:c r="O18" s="50" t="str">
        <x:f>IF(AND(O$5&lt;=$F18,O$5+6&gt;=$E18),"■","")</x:f>
      </x:c>
      <x:c r="P18" s="50" t="str">
        <x:f>IF(AND(P$5&lt;=$F18,P$5+6&gt;=$E18),"■","")</x:f>
      </x:c>
      <x:c r="Q18" s="50" t="str">
        <x:f>IF(AND(Q$5&lt;=$F18,Q$5+6&gt;=$E18),"■","")</x:f>
      </x:c>
      <x:c r="R18" s="50" t="str">
        <x:f>IF(AND(R$5&lt;=$F18,R$5+6&gt;=$E18),"■","")</x:f>
      </x:c>
      <x:c r="S18" s="46" t="d">
        <x:v>2026-10-15T00:00:00.000Z</x:v>
      </x:c>
      <x:c r="T18" s="47" t="str">
        <x:v>https://github.com/NicolasSsC/PyLevel/commit/cdc9a5ba940aff02812ba33be2a849f7bebc62c3</x:v>
      </x:c>
      <x:c r="U18" s="47" t="str">
        <x:v>Consulta de pistas registrada localmente. Descuento de puntos pendiente.</x:v>
      </x:c>
    </x:row>
    <x:row r="19" ht="62" customHeight="1">
      <x:c r="A19" s="40" t="str">
        <x:v>CAT-02</x:v>
      </x:c>
      <x:c r="B19" s="40" t="str">
        <x:v>Sprint 1</x:v>
      </x:c>
      <x:c r="C19" s="40" t="str">
        <x:v>Crear modalidades, rutas y filtros del catálogo</x:v>
      </x:c>
      <x:c r="D19" s="35" t="str">
        <x:v>Nicolas Camacho</x:v>
      </x:c>
      <x:c r="E19" s="33" t="d">
        <x:v>2026-10-14T00:00:00.000Z</x:v>
      </x:c>
      <x:c r="F19" s="33" t="d">
        <x:v>2026-10-14T00:00:00.000Z</x:v>
      </x:c>
      <x:c r="G19" s="41" t="n">
        <x:f>F19-E19+1</x:f>
        <x:v>1</x:v>
      </x:c>
      <x:c r="H19" s="40" t="str">
        <x:v>CAT-01, UI-01</x:v>
      </x:c>
      <x:c r="I19" s="40" t="str">
        <x:v>Listados clásicos y contextualizados con dificultad, temas, contador y estado vacío</x:v>
      </x:c>
      <x:c r="J19" s="40" t="str">
        <x:v>Hecho</x:v>
      </x:c>
      <x:c r="K19" s="50" t="str">
        <x:f>IF(AND(K$5&lt;=$F19,K$5+6&gt;=$E19),"■","")</x:f>
      </x:c>
      <x:c r="L19" s="50" t="str">
        <x:f>IF(AND(L$5&lt;=$F19,L$5+6&gt;=$E19),"■","")</x:f>
        <x:v>■</x:v>
      </x:c>
      <x:c r="M19" s="50" t="str">
        <x:f>IF(AND(M$5&lt;=$F19,M$5+6&gt;=$E19),"■","")</x:f>
      </x:c>
      <x:c r="N19" s="50" t="str">
        <x:f>IF(AND(N$5&lt;=$F19,N$5+6&gt;=$E19),"■","")</x:f>
      </x:c>
      <x:c r="O19" s="50" t="str">
        <x:f>IF(AND(O$5&lt;=$F19,O$5+6&gt;=$E19),"■","")</x:f>
      </x:c>
      <x:c r="P19" s="50" t="str">
        <x:f>IF(AND(P$5&lt;=$F19,P$5+6&gt;=$E19),"■","")</x:f>
      </x:c>
      <x:c r="Q19" s="50" t="str">
        <x:f>IF(AND(Q$5&lt;=$F19,Q$5+6&gt;=$E19),"■","")</x:f>
      </x:c>
      <x:c r="R19" s="50" t="str">
        <x:f>IF(AND(R$5&lt;=$F19,R$5+6&gt;=$E19),"■","")</x:f>
      </x:c>
      <x:c r="S19" s="46" t="d">
        <x:v>2026-10-15T00:00:00.000Z</x:v>
      </x:c>
      <x:c r="T19" s="47" t="str">
        <x:v>https://github.com/NicolasSsC/PyLevel/commit/cdc9a5ba940aff02812ba33be2a849f7bebc62c3</x:v>
      </x:c>
      <x:c r="U19" s="47" t="str">
        <x:v>Rutas por modalidad e identificador del ejercicio.</x:v>
      </x:c>
    </x:row>
    <x:row r="20" ht="62" customHeight="1">
      <x:c r="A20" s="35" t="str">
        <x:v>UX-01</x:v>
      </x:c>
      <x:c r="B20" s="35" t="str">
        <x:v>Sprint 1</x:v>
      </x:c>
      <x:c r="C20" s="35" t="str">
        <x:v>Añadir presentación inicial de proyectos</x:v>
      </x:c>
      <x:c r="D20" s="35" t="str">
        <x:v>Nicolas Camacho</x:v>
      </x:c>
      <x:c r="E20" s="32" t="d">
        <x:v>2026-10-14T00:00:00.000Z</x:v>
      </x:c>
      <x:c r="F20" s="32" t="d">
        <x:v>2026-10-15T00:00:00.000Z</x:v>
      </x:c>
      <x:c r="G20" s="36" t="n">
        <x:f>F20-E20+1</x:f>
        <x:v>2</x:v>
      </x:c>
      <x:c r="H20" s="35" t="str">
        <x:v>CAT-02</x:v>
      </x:c>
      <x:c r="I20" s="35" t="str">
        <x:v>Modal con situación, pregunta, archivos y resultado esperado de cada proyecto</x:v>
      </x:c>
      <x:c r="J20" s="35" t="str">
        <x:v>Hecho</x:v>
      </x:c>
      <x:c r="K20" s="50" t="str">
        <x:f>IF(AND(K$5&lt;=$F20,K$5+6&gt;=$E20),"■","")</x:f>
      </x:c>
      <x:c r="L20" s="50" t="str">
        <x:f>IF(AND(L$5&lt;=$F20,L$5+6&gt;=$E20),"■","")</x:f>
        <x:v>■</x:v>
      </x:c>
      <x:c r="M20" s="50" t="str">
        <x:f>IF(AND(M$5&lt;=$F20,M$5+6&gt;=$E20),"■","")</x:f>
      </x:c>
      <x:c r="N20" s="50" t="str">
        <x:f>IF(AND(N$5&lt;=$F20,N$5+6&gt;=$E20),"■","")</x:f>
      </x:c>
      <x:c r="O20" s="50" t="str">
        <x:f>IF(AND(O$5&lt;=$F20,O$5+6&gt;=$E20),"■","")</x:f>
      </x:c>
      <x:c r="P20" s="50" t="str">
        <x:f>IF(AND(P$5&lt;=$F20,P$5+6&gt;=$E20),"■","")</x:f>
      </x:c>
      <x:c r="Q20" s="50" t="str">
        <x:f>IF(AND(Q$5&lt;=$F20,Q$5+6&gt;=$E20),"■","")</x:f>
      </x:c>
      <x:c r="R20" s="50" t="str">
        <x:f>IF(AND(R$5&lt;=$F20,R$5+6&gt;=$E20),"■","")</x:f>
      </x:c>
      <x:c r="S20" s="46" t="d">
        <x:v>2026-10-15T00:00:00.000Z</x:v>
      </x:c>
      <x:c r="T20" s="47" t="str">
        <x:v>https://github.com/NicolasSsC/PyLevel/commit/b48333f9f8ff58de4d6fca2f0666180ed453de13</x:v>
      </x:c>
      <x:c r="U20" s="47" t="str">
        <x:v>Briefing contextual y descripción de roles de archivos.</x:v>
      </x:c>
    </x:row>
    <x:row r="21" ht="62" customHeight="1">
      <x:c r="A21" s="40" t="str">
        <x:v>UI-03</x:v>
      </x:c>
      <x:c r="B21" s="40" t="str">
        <x:v>Sprint 1</x:v>
      </x:c>
      <x:c r="C21" s="40" t="str">
        <x:v>Implementar barra de navegación superior</x:v>
      </x:c>
      <x:c r="D21" s="35" t="str">
        <x:v>Nicolas Camacho</x:v>
      </x:c>
      <x:c r="E21" s="33" t="d">
        <x:v>2026-10-14T00:00:00.000Z</x:v>
      </x:c>
      <x:c r="F21" s="33" t="d">
        <x:v>2026-10-15T00:00:00.000Z</x:v>
      </x:c>
      <x:c r="G21" s="41" t="n">
        <x:f>F21-E21+1</x:f>
        <x:v>2</x:v>
      </x:c>
      <x:c r="H21" s="40" t="str">
        <x:v>CAT-02</x:v>
      </x:c>
      <x:c r="I21" s="40" t="str">
        <x:v>Navegación, selector de tema, notificaciones y menú de perfil</x:v>
      </x:c>
      <x:c r="J21" s="40" t="str">
        <x:v>Hecho</x:v>
      </x:c>
      <x:c r="K21" s="50" t="str">
        <x:f>IF(AND(K$5&lt;=$F21,K$5+6&gt;=$E21),"■","")</x:f>
      </x:c>
      <x:c r="L21" s="50" t="str">
        <x:f>IF(AND(L$5&lt;=$F21,L$5+6&gt;=$E21),"■","")</x:f>
        <x:v>■</x:v>
      </x:c>
      <x:c r="M21" s="50" t="str">
        <x:f>IF(AND(M$5&lt;=$F21,M$5+6&gt;=$E21),"■","")</x:f>
      </x:c>
      <x:c r="N21" s="50" t="str">
        <x:f>IF(AND(N$5&lt;=$F21,N$5+6&gt;=$E21),"■","")</x:f>
      </x:c>
      <x:c r="O21" s="50" t="str">
        <x:f>IF(AND(O$5&lt;=$F21,O$5+6&gt;=$E21),"■","")</x:f>
      </x:c>
      <x:c r="P21" s="50" t="str">
        <x:f>IF(AND(P$5&lt;=$F21,P$5+6&gt;=$E21),"■","")</x:f>
      </x:c>
      <x:c r="Q21" s="50" t="str">
        <x:f>IF(AND(Q$5&lt;=$F21,Q$5+6&gt;=$E21),"■","")</x:f>
      </x:c>
      <x:c r="R21" s="50" t="str">
        <x:f>IF(AND(R$5&lt;=$F21,R$5+6&gt;=$E21),"■","")</x:f>
      </x:c>
      <x:c r="S21" s="46" t="d">
        <x:v>2026-10-15T00:00:00.000Z</x:v>
      </x:c>
      <x:c r="T21" s="47" t="str">
        <x:v>https://github.com/NicolasSsC/PyLevel/commit/b48333f9f8ff58de4d6fca2f0666180ed453de13</x:v>
      </x:c>
      <x:c r="U21" s="47" t="str">
        <x:v>Componentes de interfaz. No implica un servicio de notificaciones implementado.</x:v>
      </x:c>
    </x:row>
    <x:row r="22" ht="62" customHeight="1">
      <x:c r="A22" s="35" t="str">
        <x:v>UI-04</x:v>
      </x:c>
      <x:c r="B22" s="35" t="str">
        <x:v>Sprint 1</x:v>
      </x:c>
      <x:c r="C22" s="35" t="str">
        <x:v>Ajustar tema claro, contraste e iconografía</x:v>
      </x:c>
      <x:c r="D22" s="35" t="str">
        <x:v>Nicolas Camacho</x:v>
      </x:c>
      <x:c r="E22" s="32" t="d">
        <x:v>2026-10-15T00:00:00.000Z</x:v>
      </x:c>
      <x:c r="F22" s="32" t="d">
        <x:v>2026-10-15T00:00:00.000Z</x:v>
      </x:c>
      <x:c r="G22" s="36" t="n">
        <x:f>F22-E22+1</x:f>
        <x:v>1</x:v>
      </x:c>
      <x:c r="H22" s="35" t="str">
        <x:v>UI-03, UI-02</x:v>
      </x:c>
      <x:c r="I22" s="35" t="str">
        <x:v>Estilos compartidos, correcciones de contraste e iconos SVG</x:v>
      </x:c>
      <x:c r="J22" s="35" t="str">
        <x:v>Hecho</x:v>
      </x:c>
      <x:c r="K22" s="50" t="str">
        <x:f>IF(AND(K$5&lt;=$F22,K$5+6&gt;=$E22),"■","")</x:f>
      </x:c>
      <x:c r="L22" s="50" t="str">
        <x:f>IF(AND(L$5&lt;=$F22,L$5+6&gt;=$E22),"■","")</x:f>
        <x:v>■</x:v>
      </x:c>
      <x:c r="M22" s="50" t="str">
        <x:f>IF(AND(M$5&lt;=$F22,M$5+6&gt;=$E22),"■","")</x:f>
      </x:c>
      <x:c r="N22" s="50" t="str">
        <x:f>IF(AND(N$5&lt;=$F22,N$5+6&gt;=$E22),"■","")</x:f>
      </x:c>
      <x:c r="O22" s="50" t="str">
        <x:f>IF(AND(O$5&lt;=$F22,O$5+6&gt;=$E22),"■","")</x:f>
      </x:c>
      <x:c r="P22" s="50" t="str">
        <x:f>IF(AND(P$5&lt;=$F22,P$5+6&gt;=$E22),"■","")</x:f>
      </x:c>
      <x:c r="Q22" s="50" t="str">
        <x:f>IF(AND(Q$5&lt;=$F22,Q$5+6&gt;=$E22),"■","")</x:f>
      </x:c>
      <x:c r="R22" s="50" t="str">
        <x:f>IF(AND(R$5&lt;=$F22,R$5+6&gt;=$E22),"■","")</x:f>
      </x:c>
      <x:c r="S22" s="46" t="d">
        <x:v>2026-10-15T00:00:00.000Z</x:v>
      </x:c>
      <x:c r="T22" s="47" t="str">
        <x:v>https://github.com/NicolasSsC/PyLevel/commit/b48333f9f8ff58de4d6fca2f0666180ed453de13</x:v>
      </x:c>
      <x:c r="U22" s="47" t="str">
        <x:v>Ajustes visuales en catálogos y editores.</x:v>
      </x:c>
    </x:row>
    <x:row r="23" ht="62" customHeight="1">
      <x:c r="A23" s="40" t="str">
        <x:v>DB-02</x:v>
      </x:c>
      <x:c r="B23" s="40" t="str">
        <x:v>Sprint 1</x:v>
      </x:c>
      <x:c r="C23" s="40" t="str">
        <x:v>Implementar conexión PostgreSQL y consulta de perfiles</x:v>
      </x:c>
      <x:c r="D23" s="35" t="str">
        <x:v>Nicolas Camacho</x:v>
      </x:c>
      <x:c r="E23" s="33" t="d">
        <x:v>2026-10-14T00:00:00.000Z</x:v>
      </x:c>
      <x:c r="F23" s="33" t="d">
        <x:v>2026-10-15T00:00:00.000Z</x:v>
      </x:c>
      <x:c r="G23" s="41" t="n">
        <x:f>F23-E23+1</x:f>
        <x:v>2</x:v>
      </x:c>
      <x:c r="H23" s="40" t="str">
        <x:v>BASE-01</x:v>
      </x:c>
      <x:c r="I23" s="40" t="str">
        <x:v>Pool PostgreSQL y consultas de usuarios y perfiles con variables de entorno</x:v>
      </x:c>
      <x:c r="J23" s="40" t="str">
        <x:v>Hecho</x:v>
      </x:c>
      <x:c r="K23" s="50" t="str">
        <x:f>IF(AND(K$5&lt;=$F23,K$5+6&gt;=$E23),"■","")</x:f>
      </x:c>
      <x:c r="L23" s="50" t="str">
        <x:f>IF(AND(L$5&lt;=$F23,L$5+6&gt;=$E23),"■","")</x:f>
        <x:v>■</x:v>
      </x:c>
      <x:c r="M23" s="50" t="str">
        <x:f>IF(AND(M$5&lt;=$F23,M$5+6&gt;=$E23),"■","")</x:f>
      </x:c>
      <x:c r="N23" s="50" t="str">
        <x:f>IF(AND(N$5&lt;=$F23,N$5+6&gt;=$E23),"■","")</x:f>
      </x:c>
      <x:c r="O23" s="50" t="str">
        <x:f>IF(AND(O$5&lt;=$F23,O$5+6&gt;=$E23),"■","")</x:f>
      </x:c>
      <x:c r="P23" s="50" t="str">
        <x:f>IF(AND(P$5&lt;=$F23,P$5+6&gt;=$E23),"■","")</x:f>
      </x:c>
      <x:c r="Q23" s="50" t="str">
        <x:f>IF(AND(Q$5&lt;=$F23,Q$5+6&gt;=$E23),"■","")</x:f>
      </x:c>
      <x:c r="R23" s="50" t="str">
        <x:f>IF(AND(R$5&lt;=$F23,R$5+6&gt;=$E23),"■","")</x:f>
      </x:c>
      <x:c r="S23" s="46" t="d">
        <x:v>2026-10-15T00:00:00.000Z</x:v>
      </x:c>
      <x:c r="T23" s="47" t="str">
        <x:v>https://github.com/NicolasSsC/PyLevel/commit/b48333f9f8ff58de4d6fca2f0666180ed453de13</x:v>
      </x:c>
      <x:c r="U23" s="47" t="str">
        <x:v>Código de acceso a datos. Conectividad y esquema desplegado pendientes de verificar.</x:v>
      </x:c>
    </x:row>
    <x:row r="24" ht="62" customHeight="1">
      <x:c r="A24" s="35" t="str">
        <x:v>AUTH-01</x:v>
      </x:c>
      <x:c r="B24" s="35" t="str">
        <x:v>Sprint 1</x:v>
      </x:c>
      <x:c r="C24" s="35" t="str">
        <x:v>Implementar registro de usuarios</x:v>
      </x:c>
      <x:c r="D24" s="35" t="str">
        <x:v>Nicolas Camacho</x:v>
      </x:c>
      <x:c r="E24" s="32" t="d">
        <x:v>2026-10-15T00:00:00.000Z</x:v>
      </x:c>
      <x:c r="F24" s="32" t="d">
        <x:v>2026-10-16T00:00:00.000Z</x:v>
      </x:c>
      <x:c r="G24" s="36" t="n">
        <x:f>F24-E24+1</x:f>
        <x:v>2</x:v>
      </x:c>
      <x:c r="H24" s="35" t="str">
        <x:v>DB-02</x:v>
      </x:c>
      <x:c r="I24" s="35" t="str">
        <x:v>Formulario y API de registro, validaciones, hash bcrypt y creación de perfil</x:v>
      </x:c>
      <x:c r="J24" s="35" t="str">
        <x:v>Hecho</x:v>
      </x:c>
      <x:c r="K24" s="50" t="str">
        <x:f>IF(AND(K$5&lt;=$F24,K$5+6&gt;=$E24),"■","")</x:f>
      </x:c>
      <x:c r="L24" s="50" t="str">
        <x:f>IF(AND(L$5&lt;=$F24,L$5+6&gt;=$E24),"■","")</x:f>
        <x:v>■</x:v>
      </x:c>
      <x:c r="M24" s="50" t="str">
        <x:f>IF(AND(M$5&lt;=$F24,M$5+6&gt;=$E24),"■","")</x:f>
      </x:c>
      <x:c r="N24" s="50" t="str">
        <x:f>IF(AND(N$5&lt;=$F24,N$5+6&gt;=$E24),"■","")</x:f>
      </x:c>
      <x:c r="O24" s="50" t="str">
        <x:f>IF(AND(O$5&lt;=$F24,O$5+6&gt;=$E24),"■","")</x:f>
      </x:c>
      <x:c r="P24" s="50" t="str">
        <x:f>IF(AND(P$5&lt;=$F24,P$5+6&gt;=$E24),"■","")</x:f>
      </x:c>
      <x:c r="Q24" s="50" t="str">
        <x:f>IF(AND(Q$5&lt;=$F24,Q$5+6&gt;=$E24),"■","")</x:f>
      </x:c>
      <x:c r="R24" s="50" t="str">
        <x:f>IF(AND(R$5&lt;=$F24,R$5+6&gt;=$E24),"■","")</x:f>
      </x:c>
      <x:c r="S24" s="46" t="d">
        <x:v>2026-10-16T00:00:00.000Z</x:v>
      </x:c>
      <x:c r="T24" s="47" t="str">
        <x:v>https://github.com/NicolasSsC/PyLevel/commit/826efc26023a185bf67c402c07dde7e7bfc42617</x:v>
      </x:c>
      <x:c r="U24" s="47" t="str">
        <x:v>Implementación de código. Pruebas de registro con la base de datos pendientes.</x:v>
      </x:c>
    </x:row>
    <x:row r="25" ht="62" customHeight="1">
      <x:c r="A25" s="40" t="str">
        <x:v>AUTH-02</x:v>
      </x:c>
      <x:c r="B25" s="40" t="str">
        <x:v>Sprint 1</x:v>
      </x:c>
      <x:c r="C25" s="40" t="str">
        <x:v>Implementar inicio y cierre de sesión</x:v>
      </x:c>
      <x:c r="D25" s="35" t="str">
        <x:v>Nicolas Camacho</x:v>
      </x:c>
      <x:c r="E25" s="33" t="d">
        <x:v>2026-10-15T00:00:00.000Z</x:v>
      </x:c>
      <x:c r="F25" s="33" t="d">
        <x:v>2026-10-16T00:00:00.000Z</x:v>
      </x:c>
      <x:c r="G25" s="41" t="n">
        <x:f>F25-E25+1</x:f>
        <x:v>2</x:v>
      </x:c>
      <x:c r="H25" s="40" t="str">
        <x:v>DB-02</x:v>
      </x:c>
      <x:c r="I25" s="40" t="str">
        <x:v>Login, logout, consulta del usuario y formularios de autenticación</x:v>
      </x:c>
      <x:c r="J25" s="40" t="str">
        <x:v>Hecho</x:v>
      </x:c>
      <x:c r="K25" s="50" t="str">
        <x:f>IF(AND(K$5&lt;=$F25,K$5+6&gt;=$E25),"■","")</x:f>
      </x:c>
      <x:c r="L25" s="50" t="str">
        <x:f>IF(AND(L$5&lt;=$F25,L$5+6&gt;=$E25),"■","")</x:f>
        <x:v>■</x:v>
      </x:c>
      <x:c r="M25" s="50" t="str">
        <x:f>IF(AND(M$5&lt;=$F25,M$5+6&gt;=$E25),"■","")</x:f>
      </x:c>
      <x:c r="N25" s="50" t="str">
        <x:f>IF(AND(N$5&lt;=$F25,N$5+6&gt;=$E25),"■","")</x:f>
      </x:c>
      <x:c r="O25" s="50" t="str">
        <x:f>IF(AND(O$5&lt;=$F25,O$5+6&gt;=$E25),"■","")</x:f>
      </x:c>
      <x:c r="P25" s="50" t="str">
        <x:f>IF(AND(P$5&lt;=$F25,P$5+6&gt;=$E25),"■","")</x:f>
      </x:c>
      <x:c r="Q25" s="50" t="str">
        <x:f>IF(AND(Q$5&lt;=$F25,Q$5+6&gt;=$E25),"■","")</x:f>
      </x:c>
      <x:c r="R25" s="50" t="str">
        <x:f>IF(AND(R$5&lt;=$F25,R$5+6&gt;=$E25),"■","")</x:f>
      </x:c>
      <x:c r="S25" s="46" t="d">
        <x:v>2026-10-16T00:00:00.000Z</x:v>
      </x:c>
      <x:c r="T25" s="47" t="str">
        <x:v>https://github.com/NicolasSsC/PyLevel/commit/826efc26023a185bf67c402c07dde7e7bfc42617</x:v>
      </x:c>
      <x:c r="U25" s="47" t="str">
        <x:v>Sesión inicial implementada. Endurecimiento y validación pendientes en AUTH-03.</x:v>
      </x:c>
    </x:row>
    <x:row r="26" ht="62" customHeight="1">
      <x:c r="A26" s="35" t="str">
        <x:v>PERF-01</x:v>
      </x:c>
      <x:c r="B26" s="35" t="str">
        <x:v>Sprint 1</x:v>
      </x:c>
      <x:c r="C26" s="35" t="str">
        <x:v>Implementar perfil y actividad local del usuario</x:v>
      </x:c>
      <x:c r="D26" s="35" t="str">
        <x:v>Nicolas Camacho</x:v>
      </x:c>
      <x:c r="E26" s="32" t="d">
        <x:v>2026-10-16T00:00:00.000Z</x:v>
      </x:c>
      <x:c r="F26" s="32" t="d">
        <x:v>2026-10-16T00:00:00.000Z</x:v>
      </x:c>
      <x:c r="G26" s="36" t="n">
        <x:f>F26-E26+1</x:f>
        <x:v>1</x:v>
      </x:c>
      <x:c r="H26" s="35" t="str">
        <x:v>AUTH-01, AUTH-02, WS-01</x:v>
      </x:c>
      <x:c r="I26" s="35" t="str">
        <x:v>Página de perfil con datos del usuario y acceso a borradores locales</x:v>
      </x:c>
      <x:c r="J26" s="35" t="str">
        <x:v>Hecho</x:v>
      </x:c>
      <x:c r="K26" s="50" t="str">
        <x:f>IF(AND(K$5&lt;=$F26,K$5+6&gt;=$E26),"■","")</x:f>
      </x:c>
      <x:c r="L26" s="50" t="str">
        <x:f>IF(AND(L$5&lt;=$F26,L$5+6&gt;=$E26),"■","")</x:f>
        <x:v>■</x:v>
      </x:c>
      <x:c r="M26" s="50" t="str">
        <x:f>IF(AND(M$5&lt;=$F26,M$5+6&gt;=$E26),"■","")</x:f>
      </x:c>
      <x:c r="N26" s="50" t="str">
        <x:f>IF(AND(N$5&lt;=$F26,N$5+6&gt;=$E26),"■","")</x:f>
      </x:c>
      <x:c r="O26" s="50" t="str">
        <x:f>IF(AND(O$5&lt;=$F26,O$5+6&gt;=$E26),"■","")</x:f>
      </x:c>
      <x:c r="P26" s="50" t="str">
        <x:f>IF(AND(P$5&lt;=$F26,P$5+6&gt;=$E26),"■","")</x:f>
      </x:c>
      <x:c r="Q26" s="50" t="str">
        <x:f>IF(AND(Q$5&lt;=$F26,Q$5+6&gt;=$E26),"■","")</x:f>
      </x:c>
      <x:c r="R26" s="50" t="str">
        <x:f>IF(AND(R$5&lt;=$F26,R$5+6&gt;=$E26),"■","")</x:f>
      </x:c>
      <x:c r="S26" s="46" t="d">
        <x:v>2026-10-16T00:00:00.000Z</x:v>
      </x:c>
      <x:c r="T26" s="47" t="str">
        <x:v>https://github.com/NicolasSsC/PyLevel/commit/826efc26023a185bf67c402c07dde7e7bfc42617</x:v>
      </x:c>
      <x:c r="U26" s="47" t="str">
        <x:v>La actividad se obtiene de localStorage. Sin historial SQL de intentos ni métricas oficiales.</x:v>
      </x:c>
    </x:row>
    <x:row r="27" ht="62" customHeight="1">
      <x:c r="A27" s="40" t="str">
        <x:v>ALG-04</x:v>
      </x:c>
      <x:c r="B27" s="40" t="str">
        <x:v>Sprint 1</x:v>
      </x:c>
      <x:c r="C27" s="40" t="str">
        <x:v>Crear animación didáctica de Bubble Sort</x:v>
      </x:c>
      <x:c r="D27" s="35" t="str">
        <x:v>Nicolas Camacho</x:v>
      </x:c>
      <x:c r="E27" s="33" t="d">
        <x:v>2026-10-15T00:00:00.000Z</x:v>
      </x:c>
      <x:c r="F27" s="33" t="d">
        <x:v>2026-10-15T00:00:00.000Z</x:v>
      </x:c>
      <x:c r="G27" s="41" t="n">
        <x:f>F27-E27+1</x:f>
        <x:v>1</x:v>
      </x:c>
      <x:c r="H27" s="40" t="str">
        <x:v>UI-02</x:v>
      </x:c>
      <x:c r="I27" s="40" t="str">
        <x:v>Visualización de comparaciones, intercambios y pasadas del algoritmo</x:v>
      </x:c>
      <x:c r="J27" s="40" t="str">
        <x:v>Hecho</x:v>
      </x:c>
      <x:c r="K27" s="50" t="str">
        <x:f>IF(AND(K$5&lt;=$F27,K$5+6&gt;=$E27),"■","")</x:f>
      </x:c>
      <x:c r="L27" s="50" t="str">
        <x:f>IF(AND(L$5&lt;=$F27,L$5+6&gt;=$E27),"■","")</x:f>
        <x:v>■</x:v>
      </x:c>
      <x:c r="M27" s="50" t="str">
        <x:f>IF(AND(M$5&lt;=$F27,M$5+6&gt;=$E27),"■","")</x:f>
      </x:c>
      <x:c r="N27" s="50" t="str">
        <x:f>IF(AND(N$5&lt;=$F27,N$5+6&gt;=$E27),"■","")</x:f>
      </x:c>
      <x:c r="O27" s="50" t="str">
        <x:f>IF(AND(O$5&lt;=$F27,O$5+6&gt;=$E27),"■","")</x:f>
      </x:c>
      <x:c r="P27" s="50" t="str">
        <x:f>IF(AND(P$5&lt;=$F27,P$5+6&gt;=$E27),"■","")</x:f>
      </x:c>
      <x:c r="Q27" s="50" t="str">
        <x:f>IF(AND(Q$5&lt;=$F27,Q$5+6&gt;=$E27),"■","")</x:f>
      </x:c>
      <x:c r="R27" s="50" t="str">
        <x:f>IF(AND(R$5&lt;=$F27,R$5+6&gt;=$E27),"■","")</x:f>
      </x:c>
      <x:c r="S27" s="46" t="d">
        <x:v>2026-10-15T00:00:00.000Z</x:v>
      </x:c>
      <x:c r="T27" s="47" t="str">
        <x:v>https://github.com/NicolasSsC/PyLevel/commit/ce6876b0f669a3bff356a466868fb545d2082b92</x:v>
      </x:c>
      <x:c r="U27" s="47" t="str">
        <x:v>Ejemplo didáctico fijo. Trazas de la ejecución Python del estudiante pendientes.</x:v>
      </x:c>
    </x:row>
    <x:row r="28" ht="62" customHeight="1">
      <x:c r="A28" s="35" t="str">
        <x:v>UI-05</x:v>
      </x:c>
      <x:c r="B28" s="35" t="str">
        <x:v>Sprint 1</x:v>
      </x:c>
      <x:c r="C28" s="35" t="str">
        <x:v>Corregir textos de la sección de ejercicios</x:v>
      </x:c>
      <x:c r="D28" s="35" t="str">
        <x:v>Nicolas Camacho</x:v>
      </x:c>
      <x:c r="E28" s="32" t="d">
        <x:v>2026-10-16T00:00:00.000Z</x:v>
      </x:c>
      <x:c r="F28" s="32" t="d">
        <x:v>2026-10-16T00:00:00.000Z</x:v>
      </x:c>
      <x:c r="G28" s="36" t="n">
        <x:f>F28-E28+1</x:f>
        <x:v>1</x:v>
      </x:c>
      <x:c r="H28" s="35" t="str">
        <x:v>CAT-02</x:v>
      </x:c>
      <x:c r="I28" s="35" t="str">
        <x:v>Textos y presentación de modalidades actualizados en ExerciseHub</x:v>
      </x:c>
      <x:c r="J28" s="35" t="str">
        <x:v>Hecho</x:v>
      </x:c>
      <x:c r="K28" s="50" t="str">
        <x:f>IF(AND(K$5&lt;=$F28,K$5+6&gt;=$E28),"■","")</x:f>
      </x:c>
      <x:c r="L28" s="50" t="str">
        <x:f>IF(AND(L$5&lt;=$F28,L$5+6&gt;=$E28),"■","")</x:f>
        <x:v>■</x:v>
      </x:c>
      <x:c r="M28" s="50" t="str">
        <x:f>IF(AND(M$5&lt;=$F28,M$5+6&gt;=$E28),"■","")</x:f>
      </x:c>
      <x:c r="N28" s="50" t="str">
        <x:f>IF(AND(N$5&lt;=$F28,N$5+6&gt;=$E28),"■","")</x:f>
      </x:c>
      <x:c r="O28" s="50" t="str">
        <x:f>IF(AND(O$5&lt;=$F28,O$5+6&gt;=$E28),"■","")</x:f>
      </x:c>
      <x:c r="P28" s="50" t="str">
        <x:f>IF(AND(P$5&lt;=$F28,P$5+6&gt;=$E28),"■","")</x:f>
      </x:c>
      <x:c r="Q28" s="50" t="str">
        <x:f>IF(AND(Q$5&lt;=$F28,Q$5+6&gt;=$E28),"■","")</x:f>
      </x:c>
      <x:c r="R28" s="50" t="str">
        <x:f>IF(AND(R$5&lt;=$F28,R$5+6&gt;=$E28),"■","")</x:f>
      </x:c>
      <x:c r="S28" s="46" t="d">
        <x:v>2026-10-16T00:00:00.000Z</x:v>
      </x:c>
      <x:c r="T28" s="47" t="str">
        <x:v>https://github.com/NicolasSsC/PyLevel/commit/37522da295b320a219f86c1bd74a4550c8761c96</x:v>
      </x:c>
      <x:c r="U28" s="47" t="str">
        <x:v>Último avance de main verificado al 16/10/2026.</x:v>
      </x:c>
    </x:row>
    <x:row r="29" ht="62" customHeight="1">
      <x:c r="A29" s="40" t="str">
        <x:v>DOC-DEV</x:v>
      </x:c>
      <x:c r="B29" s="40" t="str">
        <x:v>Sprint 1</x:v>
      </x:c>
      <x:c r="C29" s="40" t="str">
        <x:v>Documentar uso y límites del prototipo</x:v>
      </x:c>
      <x:c r="D29" s="35" t="str">
        <x:v>Nicolas Camacho</x:v>
      </x:c>
      <x:c r="E29" s="33" t="d">
        <x:v>2026-10-13T00:00:00.000Z</x:v>
      </x:c>
      <x:c r="F29" s="33" t="d">
        <x:v>2026-10-15T00:00:00.000Z</x:v>
      </x:c>
      <x:c r="G29" s="41" t="n">
        <x:f>F29-E29+1</x:f>
        <x:v>3</x:v>
      </x:c>
      <x:c r="H29" s="40" t="str">
        <x:v>SEC-02</x:v>
      </x:c>
      <x:c r="I29" s="40" t="str">
        <x:v>README del núcleo y del ejecutor con preparación y limitaciones técnicas</x:v>
      </x:c>
      <x:c r="J29" s="40" t="str">
        <x:v>Hecho</x:v>
      </x:c>
      <x:c r="K29" s="50" t="str">
        <x:f>IF(AND(K$5&lt;=$F29,K$5+6&gt;=$E29),"■","")</x:f>
        <x:v>■</x:v>
      </x:c>
      <x:c r="L29" s="50" t="str">
        <x:f>IF(AND(L$5&lt;=$F29,L$5+6&gt;=$E29),"■","")</x:f>
        <x:v>■</x:v>
      </x:c>
      <x:c r="M29" s="50" t="str">
        <x:f>IF(AND(M$5&lt;=$F29,M$5+6&gt;=$E29),"■","")</x:f>
      </x:c>
      <x:c r="N29" s="50" t="str">
        <x:f>IF(AND(N$5&lt;=$F29,N$5+6&gt;=$E29),"■","")</x:f>
      </x:c>
      <x:c r="O29" s="50" t="str">
        <x:f>IF(AND(O$5&lt;=$F29,O$5+6&gt;=$E29),"■","")</x:f>
      </x:c>
      <x:c r="P29" s="50" t="str">
        <x:f>IF(AND(P$5&lt;=$F29,P$5+6&gt;=$E29),"■","")</x:f>
      </x:c>
      <x:c r="Q29" s="50" t="str">
        <x:f>IF(AND(Q$5&lt;=$F29,Q$5+6&gt;=$E29),"■","")</x:f>
      </x:c>
      <x:c r="R29" s="50" t="str">
        <x:f>IF(AND(R$5&lt;=$F29,R$5+6&gt;=$E29),"■","")</x:f>
      </x:c>
      <x:c r="S29" s="46" t="d">
        <x:v>2026-10-15T00:00:00.000Z</x:v>
      </x:c>
      <x:c r="T29" s="47" t="str">
        <x:v>https://github.com/NicolasSsC/PyLevel/commit/cdc9a5ba940aff02812ba33be2a849f7bebc62c3</x:v>
      </x:c>
      <x:c r="U29" s="47" t="str">
        <x:v>Documentación del desarrollo incluida en el repositorio.</x:v>
      </x:c>
    </x:row>
    <x:row r="30" ht="62" customHeight="1">
      <x:c r="A30" s="35" t="str">
        <x:v>ALG-02</x:v>
      </x:c>
      <x:c r="B30" s="35" t="str">
        <x:v>Sprint 1</x:v>
      </x:c>
      <x:c r="C30" s="35" t="str">
        <x:v>Formalizar diagrama y pseudocódigo del evaluador</x:v>
      </x:c>
      <x:c r="D30" s="35" t="str">
        <x:v>Nicolas Camacho</x:v>
      </x:c>
      <x:c r="E30" s="32" t="d">
        <x:v>2026-10-17T00:00:00.000Z</x:v>
      </x:c>
      <x:c r="F30" s="32" t="d">
        <x:v>2026-10-19T00:00:00.000Z</x:v>
      </x:c>
      <x:c r="G30" s="36" t="n">
        <x:f>F30-E30+1</x:f>
        <x:v>3</x:v>
      </x:c>
      <x:c r="H30" s="35" t="str">
        <x:v>ALG-03</x:v>
      </x:c>
      <x:c r="I30" s="35" t="str">
        <x:v>Flujo de evaluación, reglas de puntuación y manejo de errores documentados</x:v>
      </x:c>
      <x:c r="J30" s="35" t="str">
        <x:v>Pendiente</x:v>
      </x:c>
      <x:c r="K30" s="50" t="str">
        <x:f>IF(AND(K$5&lt;=$F30,K$5+6&gt;=$E30),"■","")</x:f>
      </x:c>
      <x:c r="L30" s="50" t="str">
        <x:f>IF(AND(L$5&lt;=$F30,L$5+6&gt;=$E30),"■","")</x:f>
        <x:v>■</x:v>
      </x:c>
      <x:c r="M30" s="50" t="str">
        <x:f>IF(AND(M$5&lt;=$F30,M$5+6&gt;=$E30),"■","")</x:f>
      </x:c>
      <x:c r="N30" s="50" t="str">
        <x:f>IF(AND(N$5&lt;=$F30,N$5+6&gt;=$E30),"■","")</x:f>
      </x:c>
      <x:c r="O30" s="50" t="str">
        <x:f>IF(AND(O$5&lt;=$F30,O$5+6&gt;=$E30),"■","")</x:f>
      </x:c>
      <x:c r="P30" s="50" t="str">
        <x:f>IF(AND(P$5&lt;=$F30,P$5+6&gt;=$E30),"■","")</x:f>
      </x:c>
      <x:c r="Q30" s="50" t="str">
        <x:f>IF(AND(Q$5&lt;=$F30,Q$5+6&gt;=$E30),"■","")</x:f>
      </x:c>
      <x:c r="R30" s="50" t="str">
        <x:f>IF(AND(R$5&lt;=$F30,R$5+6&gt;=$E30),"■","")</x:f>
      </x:c>
      <x:c r="S30" s="46"/>
      <x:c r="T30" s="47" t="str"/>
      <x:c r="U30" s="47" t="str">
        <x:v>El cronograma original lo marcaba Hecho. No se encontró el entregable y el usuario confirma trabajo de desarrollo únicamente.</x:v>
      </x:c>
    </x:row>
    <x:row r="31" ht="62" customHeight="1">
      <x:c r="A31" s="40" t="str">
        <x:v>AUTH-03</x:v>
      </x:c>
      <x:c r="B31" s="40" t="str">
        <x:v>Sprint 1</x:v>
      </x:c>
      <x:c r="C31" s="40" t="str">
        <x:v>Reforzar y verificar el manejo de sesiones</x:v>
      </x:c>
      <x:c r="D31" s="35" t="str">
        <x:v>Nicolas Camacho</x:v>
      </x:c>
      <x:c r="E31" s="33" t="d">
        <x:v>2026-10-17T00:00:00.000Z</x:v>
      </x:c>
      <x:c r="F31" s="33" t="d">
        <x:v>2026-10-20T00:00:00.000Z</x:v>
      </x:c>
      <x:c r="G31" s="41" t="n">
        <x:f>F31-E31+1</x:f>
        <x:v>4</x:v>
      </x:c>
      <x:c r="H31" s="40" t="str">
        <x:v>AUTH-02</x:v>
      </x:c>
      <x:c r="I31" s="40" t="str">
        <x:v>Sesiones validadas en servidor y pruebas de acceso, expiración y cierre</x:v>
      </x:c>
      <x:c r="J31" s="40" t="str">
        <x:v>Pendiente</x:v>
      </x:c>
      <x:c r="K31" s="50" t="str">
        <x:f>IF(AND(K$5&lt;=$F31,K$5+6&gt;=$E31),"■","")</x:f>
      </x:c>
      <x:c r="L31" s="50" t="str">
        <x:f>IF(AND(L$5&lt;=$F31,L$5+6&gt;=$E31),"■","")</x:f>
        <x:v>■</x:v>
      </x:c>
      <x:c r="M31" s="50" t="str">
        <x:f>IF(AND(M$5&lt;=$F31,M$5+6&gt;=$E31),"■","")</x:f>
      </x:c>
      <x:c r="N31" s="50" t="str">
        <x:f>IF(AND(N$5&lt;=$F31,N$5+6&gt;=$E31),"■","")</x:f>
      </x:c>
      <x:c r="O31" s="50" t="str">
        <x:f>IF(AND(O$5&lt;=$F31,O$5+6&gt;=$E31),"■","")</x:f>
      </x:c>
      <x:c r="P31" s="50" t="str">
        <x:f>IF(AND(P$5&lt;=$F31,P$5+6&gt;=$E31),"■","")</x:f>
      </x:c>
      <x:c r="Q31" s="50" t="str">
        <x:f>IF(AND(Q$5&lt;=$F31,Q$5+6&gt;=$E31),"■","")</x:f>
      </x:c>
      <x:c r="R31" s="50" t="str">
        <x:f>IF(AND(R$5&lt;=$F31,R$5+6&gt;=$E31),"■","")</x:f>
      </x:c>
      <x:c r="S31" s="46"/>
      <x:c r="T31" s="47" t="str"/>
      <x:c r="U31" s="47" t="str">
        <x:v>Revisión de la implementación inicial de autenticación antes de exposición pública.</x:v>
      </x:c>
    </x:row>
    <x:row r="32" ht="62" customHeight="1">
      <x:c r="A32" s="35" t="str">
        <x:v>QA-INT</x:v>
      </x:c>
      <x:c r="B32" s="35" t="str">
        <x:v>Sprint 1</x:v>
      </x:c>
      <x:c r="C32" s="35" t="str">
        <x:v>Validar el prototipo y registrar resultados de prueba</x:v>
      </x:c>
      <x:c r="D32" s="35" t="str">
        <x:v>Santiago Cuervo</x:v>
      </x:c>
      <x:c r="E32" s="32" t="d">
        <x:v>2026-10-17T00:00:00.000Z</x:v>
      </x:c>
      <x:c r="F32" s="32" t="d">
        <x:v>2026-10-20T00:00:00.000Z</x:v>
      </x:c>
      <x:c r="G32" s="36" t="n">
        <x:f>F32-E32+1</x:f>
        <x:v>4</x:v>
      </x:c>
      <x:c r="H32" s="35" t="str">
        <x:v>QA-DEV, QA-01, ALG-03, PERF-01</x:v>
      </x:c>
      <x:c r="I32" s="35" t="str">
        <x:v>Ejecución con Docker y runsc, registro/login y recorridos de ambos editores comprobados</x:v>
      </x:c>
      <x:c r="J32" s="35" t="str">
        <x:v>Pendiente</x:v>
      </x:c>
      <x:c r="K32" s="50" t="str">
        <x:f>IF(AND(K$5&lt;=$F32,K$5+6&gt;=$E32),"■","")</x:f>
      </x:c>
      <x:c r="L32" s="50" t="str">
        <x:f>IF(AND(L$5&lt;=$F32,L$5+6&gt;=$E32),"■","")</x:f>
        <x:v>■</x:v>
      </x:c>
      <x:c r="M32" s="50" t="str">
        <x:f>IF(AND(M$5&lt;=$F32,M$5+6&gt;=$E32),"■","")</x:f>
      </x:c>
      <x:c r="N32" s="50" t="str">
        <x:f>IF(AND(N$5&lt;=$F32,N$5+6&gt;=$E32),"■","")</x:f>
      </x:c>
      <x:c r="O32" s="50" t="str">
        <x:f>IF(AND(O$5&lt;=$F32,O$5+6&gt;=$E32),"■","")</x:f>
      </x:c>
      <x:c r="P32" s="50" t="str">
        <x:f>IF(AND(P$5&lt;=$F32,P$5+6&gt;=$E32),"■","")</x:f>
      </x:c>
      <x:c r="Q32" s="50" t="str">
        <x:f>IF(AND(Q$5&lt;=$F32,Q$5+6&gt;=$E32),"■","")</x:f>
      </x:c>
      <x:c r="R32" s="50" t="str">
        <x:f>IF(AND(R$5&lt;=$F32,R$5+6&gt;=$E32),"■","")</x:f>
      </x:c>
      <x:c r="S32" s="46"/>
      <x:c r="T32" s="47" t="str"/>
      <x:c r="U32" s="47" t="str">
        <x:v>Distinguir pruebas escritas de pruebas ejecutadas y aprobadas.</x:v>
      </x:c>
    </x:row>
    <x:row r="33" ht="62" customHeight="1">
      <x:c r="A33" s="40" t="str">
        <x:v>EVAL-01</x:v>
      </x:c>
      <x:c r="B33" s="40" t="str">
        <x:v>Sprint 2</x:v>
      </x:c>
      <x:c r="C33" s="40" t="str">
        <x:v>Implementar evaluador y puntuación oficial</x:v>
      </x:c>
      <x:c r="D33" s="35" t="str">
        <x:v>Nicolas Camacho</x:v>
      </x:c>
      <x:c r="E33" s="33" t="d">
        <x:v>2026-10-21T00:00:00.000Z</x:v>
      </x:c>
      <x:c r="F33" s="33" t="d">
        <x:v>2026-10-27T00:00:00.000Z</x:v>
      </x:c>
      <x:c r="G33" s="41" t="n">
        <x:f>F33-E33+1</x:f>
        <x:v>7</x:v>
      </x:c>
      <x:c r="H33" s="40" t="str">
        <x:v>ALG-02, QA-INT</x:v>
      </x:c>
      <x:c r="I33" s="40" t="str">
        <x:v>Evaluación reproducible, pruebas de calificación y reglas de puntuación y pistas</x:v>
      </x:c>
      <x:c r="J33" s="40" t="str">
        <x:v>Pendiente</x:v>
      </x:c>
      <x:c r="K33" s="50" t="str">
        <x:f>IF(AND(K$5&lt;=$F33,K$5+6&gt;=$E33),"■","")</x:f>
      </x:c>
      <x:c r="L33" s="50" t="str">
        <x:f>IF(AND(L$5&lt;=$F33,L$5+6&gt;=$E33),"■","")</x:f>
      </x:c>
      <x:c r="M33" s="50" t="str">
        <x:f>IF(AND(M$5&lt;=$F33,M$5+6&gt;=$E33),"■","")</x:f>
        <x:v>■</x:v>
      </x:c>
      <x:c r="N33" s="50" t="str">
        <x:f>IF(AND(N$5&lt;=$F33,N$5+6&gt;=$E33),"■","")</x:f>
      </x:c>
      <x:c r="O33" s="50" t="str">
        <x:f>IF(AND(O$5&lt;=$F33,O$5+6&gt;=$E33),"■","")</x:f>
      </x:c>
      <x:c r="P33" s="50" t="str">
        <x:f>IF(AND(P$5&lt;=$F33,P$5+6&gt;=$E33),"■","")</x:f>
      </x:c>
      <x:c r="Q33" s="50" t="str">
        <x:f>IF(AND(Q$5&lt;=$F33,Q$5+6&gt;=$E33),"■","")</x:f>
      </x:c>
      <x:c r="R33" s="50" t="str">
        <x:f>IF(AND(R$5&lt;=$F33,R$5+6&gt;=$E33),"■","")</x:f>
      </x:c>
      <x:c r="S33" s="46"/>
      <x:c r="T33" s="47" t="str"/>
      <x:c r="U33" s="47" t="str">
        <x:v>El ejecutor y las pruebas públicas actuales no acreditan calificaciones.</x:v>
      </x:c>
    </x:row>
    <x:row r="34" ht="62" customHeight="1">
      <x:c r="A34" s="35" t="str">
        <x:v>DB-01</x:v>
      </x:c>
      <x:c r="B34" s="35" t="str">
        <x:v>Sprint 2</x:v>
      </x:c>
      <x:c r="C34" s="35" t="str">
        <x:v>Persistir intentos, resultados y progreso</x:v>
      </x:c>
      <x:c r="D34" s="35" t="str">
        <x:v>Juan Carvajal / Camilo Jaimes</x:v>
      </x:c>
      <x:c r="E34" s="32" t="d">
        <x:v>2026-10-21T00:00:00.000Z</x:v>
      </x:c>
      <x:c r="F34" s="32" t="d">
        <x:v>2026-10-26T00:00:00.000Z</x:v>
      </x:c>
      <x:c r="G34" s="36" t="n">
        <x:f>F34-E34+1</x:f>
        <x:v>6</x:v>
      </x:c>
      <x:c r="H34" s="35" t="str">
        <x:v>DB-02, AUTH-03, ALG-03</x:v>
      </x:c>
      <x:c r="I34" s="35" t="str">
        <x:v>Tablas PostgreSQL y guardado de intentos vinculados al usuario y al ejercicio</x:v>
      </x:c>
      <x:c r="J34" s="35" t="str">
        <x:v>Pendiente</x:v>
      </x:c>
      <x:c r="K34" s="50" t="str">
        <x:f>IF(AND(K$5&lt;=$F34,K$5+6&gt;=$E34),"■","")</x:f>
      </x:c>
      <x:c r="L34" s="50" t="str">
        <x:f>IF(AND(L$5&lt;=$F34,L$5+6&gt;=$E34),"■","")</x:f>
      </x:c>
      <x:c r="M34" s="50" t="str">
        <x:f>IF(AND(M$5&lt;=$F34,M$5+6&gt;=$E34),"■","")</x:f>
        <x:v>■</x:v>
      </x:c>
      <x:c r="N34" s="50" t="str">
        <x:f>IF(AND(N$5&lt;=$F34,N$5+6&gt;=$E34),"■","")</x:f>
      </x:c>
      <x:c r="O34" s="50" t="str">
        <x:f>IF(AND(O$5&lt;=$F34,O$5+6&gt;=$E34),"■","")</x:f>
      </x:c>
      <x:c r="P34" s="50" t="str">
        <x:f>IF(AND(P$5&lt;=$F34,P$5+6&gt;=$E34),"■","")</x:f>
      </x:c>
      <x:c r="Q34" s="50" t="str">
        <x:f>IF(AND(Q$5&lt;=$F34,Q$5+6&gt;=$E34),"■","")</x:f>
      </x:c>
      <x:c r="R34" s="50" t="str">
        <x:f>IF(AND(R$5&lt;=$F34,R$5+6&gt;=$E34),"■","")</x:f>
      </x:c>
      <x:c r="S34" s="46"/>
      <x:c r="T34" s="47" t="str"/>
      <x:c r="U34" s="47" t="str">
        <x:v>Se ajusta el entregable a PostgreSQL usado en el código. No se encontró implementación con Prisma.</x:v>
      </x:c>
    </x:row>
    <x:row r="35" ht="62" customHeight="1">
      <x:c r="A35" s="40" t="str">
        <x:v>SEC-PROD</x:v>
      </x:c>
      <x:c r="B35" s="40" t="str">
        <x:v>Sprint 2</x:v>
      </x:c>
      <x:c r="C35" s="40" t="str">
        <x:v>Preparar API y control de ejecución para producción</x:v>
      </x:c>
      <x:c r="D35" s="35" t="str">
        <x:v>Nicolas Camacho</x:v>
      </x:c>
      <x:c r="E35" s="33" t="d">
        <x:v>2026-10-21T00:00:00.000Z</x:v>
      </x:c>
      <x:c r="F35" s="33" t="d">
        <x:v>2026-10-27T00:00:00.000Z</x:v>
      </x:c>
      <x:c r="G35" s="41" t="n">
        <x:f>F35-E35+1</x:f>
        <x:v>7</x:v>
      </x:c>
      <x:c r="H35" s="40" t="str">
        <x:v>SEC-02, AUTH-03, QA-INT</x:v>
      </x:c>
      <x:c r="I35" s="40" t="str">
        <x:v>API autenticada, cola, cuotas, cancelación y limpieza externa de contenedores</x:v>
      </x:c>
      <x:c r="J35" s="40" t="str">
        <x:v>Pendiente</x:v>
      </x:c>
      <x:c r="K35" s="50" t="str">
        <x:f>IF(AND(K$5&lt;=$F35,K$5+6&gt;=$E35),"■","")</x:f>
      </x:c>
      <x:c r="L35" s="50" t="str">
        <x:f>IF(AND(L$5&lt;=$F35,L$5+6&gt;=$E35),"■","")</x:f>
      </x:c>
      <x:c r="M35" s="50" t="str">
        <x:f>IF(AND(M$5&lt;=$F35,M$5+6&gt;=$E35),"■","")</x:f>
        <x:v>■</x:v>
      </x:c>
      <x:c r="N35" s="50" t="str">
        <x:f>IF(AND(N$5&lt;=$F35,N$5+6&gt;=$E35),"■","")</x:f>
      </x:c>
      <x:c r="O35" s="50" t="str">
        <x:f>IF(AND(O$5&lt;=$F35,O$5+6&gt;=$E35),"■","")</x:f>
      </x:c>
      <x:c r="P35" s="50" t="str">
        <x:f>IF(AND(P$5&lt;=$F35,P$5+6&gt;=$E35),"■","")</x:f>
      </x:c>
      <x:c r="Q35" s="50" t="str">
        <x:f>IF(AND(Q$5&lt;=$F35,Q$5+6&gt;=$E35),"■","")</x:f>
      </x:c>
      <x:c r="R35" s="50" t="str">
        <x:f>IF(AND(R$5&lt;=$F35,R$5+6&gt;=$E35),"■","")</x:f>
      </x:c>
      <x:c r="S35" s="46"/>
      <x:c r="T35" s="47" t="str"/>
      <x:c r="U35" s="47" t="str">
        <x:v>Requisitos de producción indicados en los README.</x:v>
      </x:c>
    </x:row>
    <x:row r="36" ht="62" customHeight="1">
      <x:c r="A36" s="35" t="str">
        <x:v>INT-01</x:v>
      </x:c>
      <x:c r="B36" s="35" t="str">
        <x:v>Sprint 2</x:v>
      </x:c>
      <x:c r="C36" s="35" t="str">
        <x:v>Integrar evaluación, resultados y persistencia</x:v>
      </x:c>
      <x:c r="D36" s="35" t="str">
        <x:v>Nicolas Camacho</x:v>
      </x:c>
      <x:c r="E36" s="32" t="d">
        <x:v>2026-10-28T00:00:00.000Z</x:v>
      </x:c>
      <x:c r="F36" s="32" t="d">
        <x:v>2026-10-30T00:00:00.000Z</x:v>
      </x:c>
      <x:c r="G36" s="36" t="n">
        <x:f>F36-E36+1</x:f>
        <x:v>3</x:v>
      </x:c>
      <x:c r="H36" s="35" t="str">
        <x:v>EVAL-01, DB-01, SEC-PROD</x:v>
      </x:c>
      <x:c r="I36" s="35" t="str">
        <x:v>Flujo completo de entrega, calificación y consulta de resultados</x:v>
      </x:c>
      <x:c r="J36" s="35" t="str">
        <x:v>Pendiente</x:v>
      </x:c>
      <x:c r="K36" s="50" t="str">
        <x:f>IF(AND(K$5&lt;=$F36,K$5+6&gt;=$E36),"■","")</x:f>
      </x:c>
      <x:c r="L36" s="50" t="str">
        <x:f>IF(AND(L$5&lt;=$F36,L$5+6&gt;=$E36),"■","")</x:f>
      </x:c>
      <x:c r="M36" s="50" t="str">
        <x:f>IF(AND(M$5&lt;=$F36,M$5+6&gt;=$E36),"■","")</x:f>
      </x:c>
      <x:c r="N36" s="50" t="str">
        <x:f>IF(AND(N$5&lt;=$F36,N$5+6&gt;=$E36),"■","")</x:f>
        <x:v>■</x:v>
      </x:c>
      <x:c r="O36" s="50" t="str">
        <x:f>IF(AND(O$5&lt;=$F36,O$5+6&gt;=$E36),"■","")</x:f>
      </x:c>
      <x:c r="P36" s="50" t="str">
        <x:f>IF(AND(P$5&lt;=$F36,P$5+6&gt;=$E36),"■","")</x:f>
      </x:c>
      <x:c r="Q36" s="50" t="str">
        <x:f>IF(AND(Q$5&lt;=$F36,Q$5+6&gt;=$E36),"■","")</x:f>
      </x:c>
      <x:c r="R36" s="50" t="str">
        <x:f>IF(AND(R$5&lt;=$F36,R$5+6&gt;=$E36),"■","")</x:f>
      </x:c>
      <x:c r="S36" s="46"/>
      <x:c r="T36" s="47" t="str"/>
      <x:c r="U36" s="47" t="str">
        <x:v>Integración oficial posterior a la validación del prototipo.</x:v>
      </x:c>
    </x:row>
    <x:row r="37" ht="62" customHeight="1">
      <x:c r="A37" s="40" t="str">
        <x:v>DEV-01</x:v>
      </x:c>
      <x:c r="B37" s="40" t="str">
        <x:v>Sprint 2</x:v>
      </x:c>
      <x:c r="C37" s="40" t="str">
        <x:v>Desplegar versión para pruebas de otros grupos</x:v>
      </x:c>
      <x:c r="D37" s="35" t="str">
        <x:v>Nicolas Camacho</x:v>
      </x:c>
      <x:c r="E37" s="33" t="d">
        <x:v>2026-10-31T00:00:00.000Z</x:v>
      </x:c>
      <x:c r="F37" s="33" t="d">
        <x:v>2026-11-02T00:00:00.000Z</x:v>
      </x:c>
      <x:c r="G37" s="41" t="n">
        <x:f>F37-E37+1</x:f>
        <x:v>3</x:v>
      </x:c>
      <x:c r="H37" s="40" t="str">
        <x:v>INT-01</x:v>
      </x:c>
      <x:c r="I37" s="40" t="str">
        <x:v>Entorno de prueba accesible con configuración reproducible</x:v>
      </x:c>
      <x:c r="J37" s="40" t="str">
        <x:v>Pendiente</x:v>
      </x:c>
      <x:c r="K37" s="50" t="str">
        <x:f>IF(AND(K$5&lt;=$F37,K$5+6&gt;=$E37),"■","")</x:f>
      </x:c>
      <x:c r="L37" s="50" t="str">
        <x:f>IF(AND(L$5&lt;=$F37,L$5+6&gt;=$E37),"■","")</x:f>
      </x:c>
      <x:c r="M37" s="50" t="str">
        <x:f>IF(AND(M$5&lt;=$F37,M$5+6&gt;=$E37),"■","")</x:f>
      </x:c>
      <x:c r="N37" s="50" t="str">
        <x:f>IF(AND(N$5&lt;=$F37,N$5+6&gt;=$E37),"■","")</x:f>
        <x:v>■</x:v>
      </x:c>
      <x:c r="O37" s="50" t="str">
        <x:f>IF(AND(O$5&lt;=$F37,O$5+6&gt;=$E37),"■","")</x:f>
      </x:c>
      <x:c r="P37" s="50" t="str">
        <x:f>IF(AND(P$5&lt;=$F37,P$5+6&gt;=$E37),"■","")</x:f>
      </x:c>
      <x:c r="Q37" s="50" t="str">
        <x:f>IF(AND(Q$5&lt;=$F37,Q$5+6&gt;=$E37),"■","")</x:f>
      </x:c>
      <x:c r="R37" s="50" t="str">
        <x:f>IF(AND(R$5&lt;=$F37,R$5+6&gt;=$E37),"■","")</x:f>
      </x:c>
      <x:c r="S37" s="46"/>
      <x:c r="T37" s="47" t="str"/>
      <x:c r="U37" s="47" t="str">
        <x:v>No se confirmó un despliegue operativo de la aplicación.</x:v>
      </x:c>
    </x:row>
    <x:row r="38" ht="62" customHeight="1">
      <x:c r="A38" s="35" t="str">
        <x:v>QA-02</x:v>
      </x:c>
      <x:c r="B38" s="35" t="str">
        <x:v>Sprint 2</x:v>
      </x:c>
      <x:c r="C38" s="35" t="str">
        <x:v>Ejecutar pruebas de aceptación y humo</x:v>
      </x:c>
      <x:c r="D38" s="35" t="str">
        <x:v>Santiago Cuervo</x:v>
      </x:c>
      <x:c r="E38" s="32" t="d">
        <x:v>2026-11-02T00:00:00.000Z</x:v>
      </x:c>
      <x:c r="F38" s="32" t="d">
        <x:v>2026-11-02T00:00:00.000Z</x:v>
      </x:c>
      <x:c r="G38" s="36" t="n">
        <x:f>F38-E38+1</x:f>
        <x:v>1</x:v>
      </x:c>
      <x:c r="H38" s="35" t="str">
        <x:v>DEV-01</x:v>
      </x:c>
      <x:c r="I38" s="35" t="str">
        <x:v>Recorridos críticos aprobados y defectos registrados</x:v>
      </x:c>
      <x:c r="J38" s="35" t="str">
        <x:v>Pendiente</x:v>
      </x:c>
      <x:c r="K38" s="50" t="str">
        <x:f>IF(AND(K$5&lt;=$F38,K$5+6&gt;=$E38),"■","")</x:f>
      </x:c>
      <x:c r="L38" s="50" t="str">
        <x:f>IF(AND(L$5&lt;=$F38,L$5+6&gt;=$E38),"■","")</x:f>
      </x:c>
      <x:c r="M38" s="50" t="str">
        <x:f>IF(AND(M$5&lt;=$F38,M$5+6&gt;=$E38),"■","")</x:f>
      </x:c>
      <x:c r="N38" s="50" t="str">
        <x:f>IF(AND(N$5&lt;=$F38,N$5+6&gt;=$E38),"■","")</x:f>
        <x:v>■</x:v>
      </x:c>
      <x:c r="O38" s="50" t="str">
        <x:f>IF(AND(O$5&lt;=$F38,O$5+6&gt;=$E38),"■","")</x:f>
      </x:c>
      <x:c r="P38" s="50" t="str">
        <x:f>IF(AND(P$5&lt;=$F38,P$5+6&gt;=$E38),"■","")</x:f>
      </x:c>
      <x:c r="Q38" s="50" t="str">
        <x:f>IF(AND(Q$5&lt;=$F38,Q$5+6&gt;=$E38),"■","")</x:f>
      </x:c>
      <x:c r="R38" s="50" t="str">
        <x:f>IF(AND(R$5&lt;=$F38,R$5+6&gt;=$E38),"■","")</x:f>
      </x:c>
      <x:c r="S38" s="46"/>
      <x:c r="T38" s="47" t="str"/>
      <x:c r="U38" s="47" t="str">
        <x:v>Comprobar autenticación, ejercicios, ejecución, persistencia y resultados.</x:v>
      </x:c>
    </x:row>
    <x:row r="39" ht="62" customHeight="1">
      <x:c r="A39" s="40" t="str">
        <x:v>REL-TEST</x:v>
      </x:c>
      <x:c r="B39" s="40" t="str">
        <x:v>Sprint 2</x:v>
      </x:c>
      <x:c r="C39" s="40" t="str">
        <x:v>Congelar y entregar versión para pruebas</x:v>
      </x:c>
      <x:c r="D39" s="35" t="str">
        <x:v>Kevin Pardo</x:v>
      </x:c>
      <x:c r="E39" s="33" t="d">
        <x:v>2026-11-03T00:00:00.000Z</x:v>
      </x:c>
      <x:c r="F39" s="33" t="d">
        <x:v>2026-11-03T00:00:00.000Z</x:v>
      </x:c>
      <x:c r="G39" s="41" t="n">
        <x:f>F39-E39+1</x:f>
        <x:v>1</x:v>
      </x:c>
      <x:c r="H39" s="40" t="str">
        <x:v>QA-02</x:v>
      </x:c>
      <x:c r="I39" s="40" t="str">
        <x:v>Versión etiquetada, guía de acceso y evidencias de prueba</x:v>
      </x:c>
      <x:c r="J39" s="40" t="str">
        <x:v>Pendiente</x:v>
      </x:c>
      <x:c r="K39" s="50" t="str">
        <x:f>IF(AND(K$5&lt;=$F39,K$5+6&gt;=$E39),"■","")</x:f>
      </x:c>
      <x:c r="L39" s="50" t="str">
        <x:f>IF(AND(L$5&lt;=$F39,L$5+6&gt;=$E39),"■","")</x:f>
      </x:c>
      <x:c r="M39" s="50" t="str">
        <x:f>IF(AND(M$5&lt;=$F39,M$5+6&gt;=$E39),"■","")</x:f>
      </x:c>
      <x:c r="N39" s="50" t="str">
        <x:f>IF(AND(N$5&lt;=$F39,N$5+6&gt;=$E39),"■","")</x:f>
        <x:v>■</x:v>
      </x:c>
      <x:c r="O39" s="50" t="str">
        <x:f>IF(AND(O$5&lt;=$F39,O$5+6&gt;=$E39),"■","")</x:f>
      </x:c>
      <x:c r="P39" s="50" t="str">
        <x:f>IF(AND(P$5&lt;=$F39,P$5+6&gt;=$E39),"■","")</x:f>
      </x:c>
      <x:c r="Q39" s="50" t="str">
        <x:f>IF(AND(Q$5&lt;=$F39,Q$5+6&gt;=$E39),"■","")</x:f>
      </x:c>
      <x:c r="R39" s="50" t="str">
        <x:f>IF(AND(R$5&lt;=$F39,R$5+6&gt;=$E39),"■","")</x:f>
      </x:c>
      <x:c r="S39" s="46"/>
      <x:c r="T39" s="47" t="str"/>
      <x:c r="U39" s="47" t="str">
        <x:v>El archivo original menciona entrega académica el 02 o 03/11. Fecha oficial por confirmar.</x:v>
      </x:c>
    </x:row>
    <x:row r="40" ht="62" customHeight="1">
      <x:c r="A40" s="35" t="str">
        <x:v>QA-EXT</x:v>
      </x:c>
      <x:c r="B40" s="35" t="str">
        <x:v>Sprint 3</x:v>
      </x:c>
      <x:c r="C40" s="35" t="str">
        <x:v>Recibir y reproducir pruebas de otros grupos</x:v>
      </x:c>
      <x:c r="D40" s="35" t="str">
        <x:v>Equipo completo</x:v>
      </x:c>
      <x:c r="E40" s="32" t="d">
        <x:v>2026-11-04T00:00:00.000Z</x:v>
      </x:c>
      <x:c r="F40" s="32" t="d">
        <x:v>2026-11-13T00:00:00.000Z</x:v>
      </x:c>
      <x:c r="G40" s="36" t="n">
        <x:f>F40-E40+1</x:f>
        <x:v>10</x:v>
      </x:c>
      <x:c r="H40" s="35" t="str">
        <x:v>REL-TEST</x:v>
      </x:c>
      <x:c r="I40" s="35" t="str">
        <x:v>Incidencias externas registradas con pasos y evidencias</x:v>
      </x:c>
      <x:c r="J40" s="35" t="str">
        <x:v>Pendiente</x:v>
      </x:c>
      <x:c r="K40" s="50" t="str">
        <x:f>IF(AND(K$5&lt;=$F40,K$5+6&gt;=$E40),"■","")</x:f>
      </x:c>
      <x:c r="L40" s="50" t="str">
        <x:f>IF(AND(L$5&lt;=$F40,L$5+6&gt;=$E40),"■","")</x:f>
      </x:c>
      <x:c r="M40" s="50" t="str">
        <x:f>IF(AND(M$5&lt;=$F40,M$5+6&gt;=$E40),"■","")</x:f>
      </x:c>
      <x:c r="N40" s="50" t="str">
        <x:f>IF(AND(N$5&lt;=$F40,N$5+6&gt;=$E40),"■","")</x:f>
      </x:c>
      <x:c r="O40" s="50" t="str">
        <x:f>IF(AND(O$5&lt;=$F40,O$5+6&gt;=$E40),"■","")</x:f>
        <x:v>■</x:v>
      </x:c>
      <x:c r="P40" s="50" t="str">
        <x:f>IF(AND(P$5&lt;=$F40,P$5+6&gt;=$E40),"■","")</x:f>
        <x:v>■</x:v>
      </x:c>
      <x:c r="Q40" s="50" t="str">
        <x:f>IF(AND(Q$5&lt;=$F40,Q$5+6&gt;=$E40),"■","")</x:f>
      </x:c>
      <x:c r="R40" s="50" t="str">
        <x:f>IF(AND(R$5&lt;=$F40,R$5+6&gt;=$E40),"■","")</x:f>
      </x:c>
      <x:c r="S40" s="46"/>
      <x:c r="T40" s="47" t="str"/>
      <x:c r="U40" s="47" t="str">
        <x:v>Recepción continua. Las correcciones pueden iniciar con las primeras incidencias.</x:v>
      </x:c>
    </x:row>
    <x:row r="41" ht="62" customHeight="1">
      <x:c r="A41" s="40" t="str">
        <x:v>QA-ADV</x:v>
      </x:c>
      <x:c r="B41" s="40" t="str">
        <x:v>Sprint 3</x:v>
      </x:c>
      <x:c r="C41" s="40" t="str">
        <x:v>Ejecutar pruebas adversariales internas</x:v>
      </x:c>
      <x:c r="D41" s="35" t="str">
        <x:v>Santiago Cuervo</x:v>
      </x:c>
      <x:c r="E41" s="33" t="d">
        <x:v>2026-11-04T00:00:00.000Z</x:v>
      </x:c>
      <x:c r="F41" s="33" t="d">
        <x:v>2026-11-11T00:00:00.000Z</x:v>
      </x:c>
      <x:c r="G41" s="41" t="n">
        <x:f>F41-E41+1</x:f>
        <x:v>8</x:v>
      </x:c>
      <x:c r="H41" s="40" t="str">
        <x:v>REL-TEST</x:v>
      </x:c>
      <x:c r="I41" s="40" t="str">
        <x:v>Casos límite y respuestas a fallos documentados</x:v>
      </x:c>
      <x:c r="J41" s="40" t="str">
        <x:v>Pendiente</x:v>
      </x:c>
      <x:c r="K41" s="50" t="str">
        <x:f>IF(AND(K$5&lt;=$F41,K$5+6&gt;=$E41),"■","")</x:f>
      </x:c>
      <x:c r="L41" s="50" t="str">
        <x:f>IF(AND(L$5&lt;=$F41,L$5+6&gt;=$E41),"■","")</x:f>
      </x:c>
      <x:c r="M41" s="50" t="str">
        <x:f>IF(AND(M$5&lt;=$F41,M$5+6&gt;=$E41),"■","")</x:f>
      </x:c>
      <x:c r="N41" s="50" t="str">
        <x:f>IF(AND(N$5&lt;=$F41,N$5+6&gt;=$E41),"■","")</x:f>
      </x:c>
      <x:c r="O41" s="50" t="str">
        <x:f>IF(AND(O$5&lt;=$F41,O$5+6&gt;=$E41),"■","")</x:f>
        <x:v>■</x:v>
      </x:c>
      <x:c r="P41" s="50" t="str">
        <x:f>IF(AND(P$5&lt;=$F41,P$5+6&gt;=$E41),"■","")</x:f>
        <x:v>■</x:v>
      </x:c>
      <x:c r="Q41" s="50" t="str">
        <x:f>IF(AND(Q$5&lt;=$F41,Q$5+6&gt;=$E41),"■","")</x:f>
      </x:c>
      <x:c r="R41" s="50" t="str">
        <x:f>IF(AND(R$5&lt;=$F41,R$5+6&gt;=$E41),"■","")</x:f>
      </x:c>
      <x:c r="S41" s="46"/>
      <x:c r="T41" s="47" t="str"/>
      <x:c r="U41" s="47" t="str">
        <x:v>En paralelo con la recepción de pruebas externas.</x:v>
      </x:c>
    </x:row>
    <x:row r="42" ht="62" customHeight="1">
      <x:c r="A42" s="35" t="str">
        <x:v>FIX-01</x:v>
      </x:c>
      <x:c r="B42" s="35" t="str">
        <x:v>Sprint 3</x:v>
      </x:c>
      <x:c r="C42" s="35" t="str">
        <x:v>Corregir defectos prioritarios</x:v>
      </x:c>
      <x:c r="D42" s="35" t="str">
        <x:v>Juan Carvajal / Camilo Jaimes</x:v>
      </x:c>
      <x:c r="E42" s="32" t="d">
        <x:v>2026-11-05T00:00:00.000Z</x:v>
      </x:c>
      <x:c r="F42" s="32" t="d">
        <x:v>2026-11-15T00:00:00.000Z</x:v>
      </x:c>
      <x:c r="G42" s="36" t="n">
        <x:f>F42-E42+1</x:f>
        <x:v>11</x:v>
      </x:c>
      <x:c r="H42" s="35" t="str">
        <x:v>QA-EXT, QA-ADV</x:v>
      </x:c>
      <x:c r="I42" s="35" t="str">
        <x:v>Defectos críticos corregidos y revisados</x:v>
      </x:c>
      <x:c r="J42" s="35" t="str">
        <x:v>Pendiente</x:v>
      </x:c>
      <x:c r="K42" s="50" t="str">
        <x:f>IF(AND(K$5&lt;=$F42,K$5+6&gt;=$E42),"■","")</x:f>
      </x:c>
      <x:c r="L42" s="50" t="str">
        <x:f>IF(AND(L$5&lt;=$F42,L$5+6&gt;=$E42),"■","")</x:f>
      </x:c>
      <x:c r="M42" s="50" t="str">
        <x:f>IF(AND(M$5&lt;=$F42,M$5+6&gt;=$E42),"■","")</x:f>
      </x:c>
      <x:c r="N42" s="50" t="str">
        <x:f>IF(AND(N$5&lt;=$F42,N$5+6&gt;=$E42),"■","")</x:f>
      </x:c>
      <x:c r="O42" s="50" t="str">
        <x:f>IF(AND(O$5&lt;=$F42,O$5+6&gt;=$E42),"■","")</x:f>
        <x:v>■</x:v>
      </x:c>
      <x:c r="P42" s="50" t="str">
        <x:f>IF(AND(P$5&lt;=$F42,P$5+6&gt;=$E42),"■","")</x:f>
        <x:v>■</x:v>
      </x:c>
      <x:c r="Q42" s="50" t="str">
        <x:f>IF(AND(Q$5&lt;=$F42,Q$5+6&gt;=$E42),"■","")</x:f>
      </x:c>
      <x:c r="R42" s="50" t="str">
        <x:f>IF(AND(R$5&lt;=$F42,R$5+6&gt;=$E42),"■","")</x:f>
      </x:c>
      <x:c r="S42" s="46"/>
      <x:c r="T42" s="47" t="str"/>
      <x:c r="U42" s="47" t="str">
        <x:v>Inicio con las primeras incidencias. Dependencia parcial, sin esperar el cierre de ambas campañas.</x:v>
      </x:c>
    </x:row>
    <x:row r="43" ht="62" customHeight="1">
      <x:c r="A43" s="40" t="str">
        <x:v>REG-01</x:v>
      </x:c>
      <x:c r="B43" s="40" t="str">
        <x:v>Sprint 3</x:v>
      </x:c>
      <x:c r="C43" s="40" t="str">
        <x:v>Ejecutar regresión tras cada corrección</x:v>
      </x:c>
      <x:c r="D43" s="35" t="str">
        <x:v>Santiago Cuervo</x:v>
      </x:c>
      <x:c r="E43" s="33" t="d">
        <x:v>2026-11-08T00:00:00.000Z</x:v>
      </x:c>
      <x:c r="F43" s="33" t="d">
        <x:v>2026-11-17T00:00:00.000Z</x:v>
      </x:c>
      <x:c r="G43" s="41" t="n">
        <x:f>F43-E43+1</x:f>
        <x:v>10</x:v>
      </x:c>
      <x:c r="H43" s="40" t="str">
        <x:v>FIX-01</x:v>
      </x:c>
      <x:c r="I43" s="40" t="str">
        <x:v>Verificaciones repetibles sin regresiones críticas</x:v>
      </x:c>
      <x:c r="J43" s="40" t="str">
        <x:v>Pendiente</x:v>
      </x:c>
      <x:c r="K43" s="50" t="str">
        <x:f>IF(AND(K$5&lt;=$F43,K$5+6&gt;=$E43),"■","")</x:f>
      </x:c>
      <x:c r="L43" s="50" t="str">
        <x:f>IF(AND(L$5&lt;=$F43,L$5+6&gt;=$E43),"■","")</x:f>
      </x:c>
      <x:c r="M43" s="50" t="str">
        <x:f>IF(AND(M$5&lt;=$F43,M$5+6&gt;=$E43),"■","")</x:f>
      </x:c>
      <x:c r="N43" s="50" t="str">
        <x:f>IF(AND(N$5&lt;=$F43,N$5+6&gt;=$E43),"■","")</x:f>
      </x:c>
      <x:c r="O43" s="50" t="str">
        <x:f>IF(AND(O$5&lt;=$F43,O$5+6&gt;=$E43),"■","")</x:f>
        <x:v>■</x:v>
      </x:c>
      <x:c r="P43" s="50" t="str">
        <x:f>IF(AND(P$5&lt;=$F43,P$5+6&gt;=$E43),"■","")</x:f>
        <x:v>■</x:v>
      </x:c>
      <x:c r="Q43" s="50" t="str">
        <x:f>IF(AND(Q$5&lt;=$F43,Q$5+6&gt;=$E43),"■","")</x:f>
      </x:c>
      <x:c r="R43" s="50" t="str">
        <x:f>IF(AND(R$5&lt;=$F43,R$5+6&gt;=$E43),"■","")</x:f>
      </x:c>
      <x:c r="S43" s="46"/>
      <x:c r="T43" s="47" t="str"/>
      <x:c r="U43" s="47" t="str">
        <x:v>Se ejecuta de forma continua a medida que se entregan correcciones.</x:v>
      </x:c>
    </x:row>
    <x:row r="44" ht="62" customHeight="1">
      <x:c r="A44" s="35" t="str">
        <x:v>SEC-03</x:v>
      </x:c>
      <x:c r="B44" s="35" t="str">
        <x:v>Sprint 3</x:v>
      </x:c>
      <x:c r="C44" s="35" t="str">
        <x:v>Verificar estabilidad y seguridad</x:v>
      </x:c>
      <x:c r="D44" s="35" t="str">
        <x:v>Nicolas Camacho</x:v>
      </x:c>
      <x:c r="E44" s="32" t="d">
        <x:v>2026-11-09T00:00:00.000Z</x:v>
      </x:c>
      <x:c r="F44" s="32" t="d">
        <x:v>2026-11-17T00:00:00.000Z</x:v>
      </x:c>
      <x:c r="G44" s="36" t="n">
        <x:f>F44-E44+1</x:f>
        <x:v>9</x:v>
      </x:c>
      <x:c r="H44" s="35" t="str">
        <x:v>SEC-PROD, QA-EXT</x:v>
      </x:c>
      <x:c r="I44" s="35" t="str">
        <x:v>Límites, aislamiento, sesiones y recuperación ante fallos verificados</x:v>
      </x:c>
      <x:c r="J44" s="35" t="str">
        <x:v>Pendiente</x:v>
      </x:c>
      <x:c r="K44" s="50" t="str">
        <x:f>IF(AND(K$5&lt;=$F44,K$5+6&gt;=$E44),"■","")</x:f>
      </x:c>
      <x:c r="L44" s="50" t="str">
        <x:f>IF(AND(L$5&lt;=$F44,L$5+6&gt;=$E44),"■","")</x:f>
      </x:c>
      <x:c r="M44" s="50" t="str">
        <x:f>IF(AND(M$5&lt;=$F44,M$5+6&gt;=$E44),"■","")</x:f>
      </x:c>
      <x:c r="N44" s="50" t="str">
        <x:f>IF(AND(N$5&lt;=$F44,N$5+6&gt;=$E44),"■","")</x:f>
      </x:c>
      <x:c r="O44" s="50" t="str">
        <x:f>IF(AND(O$5&lt;=$F44,O$5+6&gt;=$E44),"■","")</x:f>
        <x:v>■</x:v>
      </x:c>
      <x:c r="P44" s="50" t="str">
        <x:f>IF(AND(P$5&lt;=$F44,P$5+6&gt;=$E44),"■","")</x:f>
        <x:v>■</x:v>
      </x:c>
      <x:c r="Q44" s="50" t="str">
        <x:f>IF(AND(Q$5&lt;=$F44,Q$5+6&gt;=$E44),"■","")</x:f>
      </x:c>
      <x:c r="R44" s="50" t="str">
        <x:f>IF(AND(R$5&lt;=$F44,R$5+6&gt;=$E44),"■","")</x:f>
      </x:c>
      <x:c r="S44" s="46"/>
      <x:c r="T44" s="47" t="str"/>
      <x:c r="U44" s="47" t="str">
        <x:v>Atender hallazgos parciales de QA-EXT durante el sprint.</x:v>
      </x:c>
    </x:row>
    <x:row r="45" ht="62" customHeight="1">
      <x:c r="A45" s="40" t="str">
        <x:v>FIX-02</x:v>
      </x:c>
      <x:c r="B45" s="40" t="str">
        <x:v>Sprint 4</x:v>
      </x:c>
      <x:c r="C45" s="40" t="str">
        <x:v>Resolver pendientes y estabilizar</x:v>
      </x:c>
      <x:c r="D45" s="35" t="str">
        <x:v>Juan Carvajal / Camilo Jaimes</x:v>
      </x:c>
      <x:c r="E45" s="33" t="d">
        <x:v>2026-11-18T00:00:00.000Z</x:v>
      </x:c>
      <x:c r="F45" s="33" t="d">
        <x:v>2026-11-24T00:00:00.000Z</x:v>
      </x:c>
      <x:c r="G45" s="41" t="n">
        <x:f>F45-E45+1</x:f>
        <x:v>7</x:v>
      </x:c>
      <x:c r="H45" s="40" t="str">
        <x:v>FIX-01, REG-01</x:v>
      </x:c>
      <x:c r="I45" s="40" t="str">
        <x:v>Pendientes prioritarios cerrados</x:v>
      </x:c>
      <x:c r="J45" s="40" t="str">
        <x:v>Pendiente</x:v>
      </x:c>
      <x:c r="K45" s="50" t="str">
        <x:f>IF(AND(K$5&lt;=$F45,K$5+6&gt;=$E45),"■","")</x:f>
      </x:c>
      <x:c r="L45" s="50" t="str">
        <x:f>IF(AND(L$5&lt;=$F45,L$5+6&gt;=$E45),"■","")</x:f>
      </x:c>
      <x:c r="M45" s="50" t="str">
        <x:f>IF(AND(M$5&lt;=$F45,M$5+6&gt;=$E45),"■","")</x:f>
      </x:c>
      <x:c r="N45" s="50" t="str">
        <x:f>IF(AND(N$5&lt;=$F45,N$5+6&gt;=$E45),"■","")</x:f>
      </x:c>
      <x:c r="O45" s="50" t="str">
        <x:f>IF(AND(O$5&lt;=$F45,O$5+6&gt;=$E45),"■","")</x:f>
      </x:c>
      <x:c r="P45" s="50" t="str">
        <x:f>IF(AND(P$5&lt;=$F45,P$5+6&gt;=$E45),"■","")</x:f>
      </x:c>
      <x:c r="Q45" s="50" t="str">
        <x:f>IF(AND(Q$5&lt;=$F45,Q$5+6&gt;=$E45),"■","")</x:f>
        <x:v>■</x:v>
      </x:c>
      <x:c r="R45" s="50" t="str">
        <x:f>IF(AND(R$5&lt;=$F45,R$5+6&gt;=$E45),"■","")</x:f>
      </x:c>
      <x:c r="S45" s="46"/>
      <x:c r="T45" s="47" t="str"/>
      <x:c r="U45" s="47" t="str"/>
    </x:row>
    <x:row r="46" ht="62" customHeight="1">
      <x:c r="A46" s="35" t="str">
        <x:v>DEV-02</x:v>
      </x:c>
      <x:c r="B46" s="35" t="str">
        <x:v>Sprint 4</x:v>
      </x:c>
      <x:c r="C46" s="35" t="str">
        <x:v>Preparar despliegue estable</x:v>
      </x:c>
      <x:c r="D46" s="35" t="str">
        <x:v>Nicolas Camacho</x:v>
      </x:c>
      <x:c r="E46" s="32" t="d">
        <x:v>2026-11-18T00:00:00.000Z</x:v>
      </x:c>
      <x:c r="F46" s="32" t="d">
        <x:v>2026-11-26T00:00:00.000Z</x:v>
      </x:c>
      <x:c r="G46" s="36" t="n">
        <x:f>F46-E46+1</x:f>
        <x:v>9</x:v>
      </x:c>
      <x:c r="H46" s="35" t="str">
        <x:v>DEV-01, SEC-03</x:v>
      </x:c>
      <x:c r="I46" s="35" t="str">
        <x:v>Despliegue reproducible y monitoreado</x:v>
      </x:c>
      <x:c r="J46" s="35" t="str">
        <x:v>Pendiente</x:v>
      </x:c>
      <x:c r="K46" s="50" t="str">
        <x:f>IF(AND(K$5&lt;=$F46,K$5+6&gt;=$E46),"■","")</x:f>
      </x:c>
      <x:c r="L46" s="50" t="str">
        <x:f>IF(AND(L$5&lt;=$F46,L$5+6&gt;=$E46),"■","")</x:f>
      </x:c>
      <x:c r="M46" s="50" t="str">
        <x:f>IF(AND(M$5&lt;=$F46,M$5+6&gt;=$E46),"■","")</x:f>
      </x:c>
      <x:c r="N46" s="50" t="str">
        <x:f>IF(AND(N$5&lt;=$F46,N$5+6&gt;=$E46),"■","")</x:f>
      </x:c>
      <x:c r="O46" s="50" t="str">
        <x:f>IF(AND(O$5&lt;=$F46,O$5+6&gt;=$E46),"■","")</x:f>
      </x:c>
      <x:c r="P46" s="50" t="str">
        <x:f>IF(AND(P$5&lt;=$F46,P$5+6&gt;=$E46),"■","")</x:f>
      </x:c>
      <x:c r="Q46" s="50" t="str">
        <x:f>IF(AND(Q$5&lt;=$F46,Q$5+6&gt;=$E46),"■","")</x:f>
        <x:v>■</x:v>
      </x:c>
      <x:c r="R46" s="50" t="str">
        <x:f>IF(AND(R$5&lt;=$F46,R$5+6&gt;=$E46),"■","")</x:f>
        <x:v>■</x:v>
      </x:c>
      <x:c r="S46" s="46"/>
      <x:c r="T46" s="47" t="str"/>
      <x:c r="U46" s="47" t="str"/>
    </x:row>
    <x:row r="47" ht="62" customHeight="1">
      <x:c r="A47" s="40" t="str">
        <x:v>QA-FIN</x:v>
      </x:c>
      <x:c r="B47" s="40" t="str">
        <x:v>Sprint 4</x:v>
      </x:c>
      <x:c r="C47" s="40" t="str">
        <x:v>Ejecutar regresión final y prueba general</x:v>
      </x:c>
      <x:c r="D47" s="35" t="str">
        <x:v>Santiago Cuervo</x:v>
      </x:c>
      <x:c r="E47" s="33" t="d">
        <x:v>2026-11-27T00:00:00.000Z</x:v>
      </x:c>
      <x:c r="F47" s="33" t="d">
        <x:v>2026-11-28T00:00:00.000Z</x:v>
      </x:c>
      <x:c r="G47" s="41" t="n">
        <x:f>F47-E47+1</x:f>
        <x:v>2</x:v>
      </x:c>
      <x:c r="H47" s="40" t="str">
        <x:v>FIX-02, DEV-02</x:v>
      </x:c>
      <x:c r="I47" s="40" t="str">
        <x:v>Batería final ejecutada y evidencias almacenadas</x:v>
      </x:c>
      <x:c r="J47" s="40" t="str">
        <x:v>Pendiente</x:v>
      </x:c>
      <x:c r="K47" s="50" t="str">
        <x:f>IF(AND(K$5&lt;=$F47,K$5+6&gt;=$E47),"■","")</x:f>
      </x:c>
      <x:c r="L47" s="50" t="str">
        <x:f>IF(AND(L$5&lt;=$F47,L$5+6&gt;=$E47),"■","")</x:f>
      </x:c>
      <x:c r="M47" s="50" t="str">
        <x:f>IF(AND(M$5&lt;=$F47,M$5+6&gt;=$E47),"■","")</x:f>
      </x:c>
      <x:c r="N47" s="50" t="str">
        <x:f>IF(AND(N$5&lt;=$F47,N$5+6&gt;=$E47),"■","")</x:f>
      </x:c>
      <x:c r="O47" s="50" t="str">
        <x:f>IF(AND(O$5&lt;=$F47,O$5+6&gt;=$E47),"■","")</x:f>
      </x:c>
      <x:c r="P47" s="50" t="str">
        <x:f>IF(AND(P$5&lt;=$F47,P$5+6&gt;=$E47),"■","")</x:f>
      </x:c>
      <x:c r="Q47" s="50" t="str">
        <x:f>IF(AND(Q$5&lt;=$F47,Q$5+6&gt;=$E47),"■","")</x:f>
      </x:c>
      <x:c r="R47" s="50" t="str">
        <x:f>IF(AND(R$5&lt;=$F47,R$5+6&gt;=$E47),"■","")</x:f>
        <x:v>■</x:v>
      </x:c>
      <x:c r="S47" s="46"/>
      <x:c r="T47" s="47" t="str"/>
      <x:c r="U47" s="47" t="str"/>
    </x:row>
    <x:row r="48" ht="62" customHeight="1">
      <x:c r="A48" s="35" t="str">
        <x:v>DOC-01</x:v>
      </x:c>
      <x:c r="B48" s="35" t="str">
        <x:v>Sprint 4</x:v>
      </x:c>
      <x:c r="C48" s="35" t="str">
        <x:v>Preparar demostración y evidencias</x:v>
      </x:c>
      <x:c r="D48" s="35" t="str">
        <x:v>Nicolas Camacho</x:v>
      </x:c>
      <x:c r="E48" s="32" t="d">
        <x:v>2026-11-29T00:00:00.000Z</x:v>
      </x:c>
      <x:c r="F48" s="32" t="d">
        <x:v>2026-12-01T00:00:00.000Z</x:v>
      </x:c>
      <x:c r="G48" s="36" t="n">
        <x:f>F48-E48+1</x:f>
        <x:v>3</x:v>
      </x:c>
      <x:c r="H48" s="35" t="str">
        <x:v>QA-FIN</x:v>
      </x:c>
      <x:c r="I48" s="35" t="str">
        <x:v>Demostración, bitácora y resultados de prueba</x:v>
      </x:c>
      <x:c r="J48" s="35" t="str">
        <x:v>Pendiente</x:v>
      </x:c>
      <x:c r="K48" s="50" t="str">
        <x:f>IF(AND(K$5&lt;=$F48,K$5+6&gt;=$E48),"■","")</x:f>
      </x:c>
      <x:c r="L48" s="50" t="str">
        <x:f>IF(AND(L$5&lt;=$F48,L$5+6&gt;=$E48),"■","")</x:f>
      </x:c>
      <x:c r="M48" s="50" t="str">
        <x:f>IF(AND(M$5&lt;=$F48,M$5+6&gt;=$E48),"■","")</x:f>
      </x:c>
      <x:c r="N48" s="50" t="str">
        <x:f>IF(AND(N$5&lt;=$F48,N$5+6&gt;=$E48),"■","")</x:f>
      </x:c>
      <x:c r="O48" s="50" t="str">
        <x:f>IF(AND(O$5&lt;=$F48,O$5+6&gt;=$E48),"■","")</x:f>
      </x:c>
      <x:c r="P48" s="50" t="str">
        <x:f>IF(AND(P$5&lt;=$F48,P$5+6&gt;=$E48),"■","")</x:f>
      </x:c>
      <x:c r="Q48" s="50" t="str">
        <x:f>IF(AND(Q$5&lt;=$F48,Q$5+6&gt;=$E48),"■","")</x:f>
      </x:c>
      <x:c r="R48" s="50" t="str">
        <x:f>IF(AND(R$5&lt;=$F48,R$5+6&gt;=$E48),"■","")</x:f>
        <x:v>■</x:v>
      </x:c>
      <x:c r="S48" s="46"/>
      <x:c r="T48" s="47" t="str"/>
      <x:c r="U48" s="47" t="str"/>
    </x:row>
    <x:row r="49" ht="62" customHeight="1">
      <x:c r="A49" s="40" t="str">
        <x:v>REL-01</x:v>
      </x:c>
      <x:c r="B49" s="40" t="str">
        <x:v>Sprint 4</x:v>
      </x:c>
      <x:c r="C49" s="40" t="str">
        <x:v>Congelar versión final planificada</x:v>
      </x:c>
      <x:c r="D49" s="35" t="str">
        <x:v>Equipo completo</x:v>
      </x:c>
      <x:c r="E49" s="33" t="d">
        <x:v>2026-12-01T00:00:00.000Z</x:v>
      </x:c>
      <x:c r="F49" s="33" t="d">
        <x:v>2026-12-01T00:00:00.000Z</x:v>
      </x:c>
      <x:c r="G49" s="41" t="n">
        <x:f>F49-E49+1</x:f>
        <x:v>1</x:v>
      </x:c>
      <x:c r="H49" s="40" t="str">
        <x:v>QA-FIN, DEV-02, DOC-01</x:v>
      </x:c>
      <x:c r="I49" s="40" t="str">
        <x:v>Versión reproducible y cierre de incidencias</x:v>
      </x:c>
      <x:c r="J49" s="40" t="str">
        <x:v>Pendiente</x:v>
      </x:c>
      <x:c r="K49" s="50" t="str">
        <x:f>IF(AND(K$5&lt;=$F49,K$5+6&gt;=$E49),"■","")</x:f>
      </x:c>
      <x:c r="L49" s="50" t="str">
        <x:f>IF(AND(L$5&lt;=$F49,L$5+6&gt;=$E49),"■","")</x:f>
      </x:c>
      <x:c r="M49" s="50" t="str">
        <x:f>IF(AND(M$5&lt;=$F49,M$5+6&gt;=$E49),"■","")</x:f>
      </x:c>
      <x:c r="N49" s="50" t="str">
        <x:f>IF(AND(N$5&lt;=$F49,N$5+6&gt;=$E49),"■","")</x:f>
      </x:c>
      <x:c r="O49" s="50" t="str">
        <x:f>IF(AND(O$5&lt;=$F49,O$5+6&gt;=$E49),"■","")</x:f>
      </x:c>
      <x:c r="P49" s="50" t="str">
        <x:f>IF(AND(P$5&lt;=$F49,P$5+6&gt;=$E49),"■","")</x:f>
      </x:c>
      <x:c r="Q49" s="50" t="str">
        <x:f>IF(AND(Q$5&lt;=$F49,Q$5+6&gt;=$E49),"■","")</x:f>
      </x:c>
      <x:c r="R49" s="50" t="str">
        <x:f>IF(AND(R$5&lt;=$F49,R$5+6&gt;=$E49),"■","")</x:f>
        <x:v>■</x:v>
      </x:c>
      <x:c r="S49" s="48"/>
      <x:c r="T49" s="49" t="str"/>
      <x:c r="U49" s="49" t="str">
        <x:v>Cierre de ocho semanas del plan original. No es fecha oficial confirmada.</x:v>
      </x:c>
    </x:row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R1"/>
    <x:mergeCell ref="A3:J3"/>
    <x:mergeCell ref="K3:R3"/>
    <x:mergeCell ref="S3:U3"/>
    <x:mergeCell ref="A2:R2"/>
  </x:mergeCells>
  <x:conditionalFormatting sqref="J6:J49">
    <x:cfRule type="expression" dxfId="7" priority="1">
      <x:formula>J6="Hecho"</x:formula>
    </x:cfRule>
    <x:cfRule type="expression" dxfId="8" priority="2">
      <x:formula>J6="Bloqueado"</x:formula>
    </x:cfRule>
    <x:cfRule type="expression" dxfId="9" priority="3">
      <x:formula>J6="En curso"</x:formula>
    </x:cfRule>
  </x:conditionalFormatting>
  <x:conditionalFormatting sqref="K6:R49">
    <x:cfRule type="expression" dxfId="10" priority="4">
      <x:formula>AND(K$5&lt;=$F6,K$5+6&gt;=$E6,$B6="Sprint 1")</x:formula>
    </x:cfRule>
    <x:cfRule type="expression" dxfId="11" priority="5">
      <x:formula>AND(K$5&lt;=$F6,K$5+6&gt;=$E6,$B6="Sprint 2")</x:formula>
    </x:cfRule>
    <x:cfRule type="expression" dxfId="12" priority="6">
      <x:formula>AND(K$5&lt;=$F6,K$5+6&gt;=$E6,$B6="Sprint 3")</x:formula>
    </x:cfRule>
    <x:cfRule type="expression" dxfId="13" priority="7">
      <x:formula>AND(K$5&lt;=$F6,K$5+6&gt;=$E6,$B6="Sprint 4")</x:formula>
    </x:cfRule>
  </x:conditionalFormatting>
  <x:dataValidations count="1">
    <x:dataValidation type="list" sqref="J6:J49">
      <x:formula1>"Pendiente,En curso,En revisión,Hecho,Bloqueado"</x:formula1>
    </x:dataValidation>
  </x:dataValidations>
  <x:pageMargins left="0.7" right="0.7" top="0.75" bottom="0.75" header="0.3" footer="0.3"/>
</x:worksheet>
</file>