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44d5654364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35deadc5b7bb456e"/>
    <x:sheet xmlns:r="http://schemas.openxmlformats.org/officeDocument/2006/relationships" name="Cronograma" sheetId="2" r:id="R44d7367f25c8440a"/>
  </x:sheets>
</x:workbook>
</file>

<file path=xl/sharedStrings.xml><?xml version="1.0" encoding="utf-8"?>
<x:sst xmlns:x="http://schemas.openxmlformats.org/spreadsheetml/2006/main">
  <x:si>
    <x:t xml:space="preserve">PyLevel  |  Cronograma de desarrollo y despliegue</x:t>
  </x:si>
  <x:si>
    <x:t xml:space="preserve">Inicio</x:t>
  </x:si>
  <x:si>
    <x:t xml:space="preserve">Finalización</x:t>
  </x:si>
  <x:si>
    <x:t xml:space="preserve">Duración</x:t>
  </x:si>
  <x:si>
    <x:t xml:space="preserve">8 semanas</x:t>
  </x:si>
  <x:si>
    <x:t xml:space="preserve">Sprints</x:t>
  </x:si>
  <x:si>
    <x:t xml:space="preserve">RUTA DE ENTREGA</x:t>
  </x:si>
  <x:si>
    <x:t xml:space="preserve">Sprint</x:t>
  </x:si>
  <x:si>
    <x:t xml:space="preserve">Fin</x:t>
  </x:si>
  <x:si>
    <x:t xml:space="preserve">Semanas</x:t>
  </x:si>
  <x:si>
    <x:t xml:space="preserve">Objetivo</x:t>
  </x:si>
  <x:si>
    <x:t xml:space="preserve">Hito de salida</x:t>
  </x:si>
  <x:si>
    <x:t xml:space="preserve">Enfoque de prueba</x:t>
  </x:si>
  <x:si>
    <x:t xml:space="preserve">Condición / observación</x:t>
  </x:si>
  <x:si>
    <x:t xml:space="preserve">Sprint 1</x:t>
  </x:si>
  <x:si>
    <x:t xml:space="preserve">1–2</x:t>
  </x:si>
  <x:si>
    <x:t xml:space="preserve">Sprint 2</x:t>
  </x:si>
  <x:si>
    <x:t xml:space="preserve">3–4</x:t>
  </x:si>
  <x:si>
    <x:t xml:space="preserve">Versión desplegada y validada para pruebas de otros grupos</x:t>
  </x:si>
  <x:si>
    <x:t xml:space="preserve">Pruebas de aceptación, humo, autenticación, aislamiento y persistencia</x:t>
  </x:si>
  <x:si>
    <x:t xml:space="preserve">El original menciona entrega académica el 02 o 03/11. Fecha oficial por confirmar.</x:t>
  </x:si>
  <x:si>
    <x:t xml:space="preserve">Sprint 3</x:t>
  </x:si>
  <x:si>
    <x:t xml:space="preserve">5–6</x:t>
  </x:si>
  <x:si>
    <x:t xml:space="preserve">Pruebas externas, correcciones y revisión de seguridad</x:t>
  </x:si>
  <x:si>
    <x:t xml:space="preserve">Incidencias prioritarias corregidas y regresión verificada</x:t>
  </x:si>
  <x:si>
    <x:t xml:space="preserve">Pruebas externas, adversariales y de regresión</x:t>
  </x:si>
  <x:si>
    <x:t xml:space="preserve">Trabajo posterior a la entrega para pruebas, del 04 al 17/11.</x:t>
  </x:si>
  <x:si>
    <x:t xml:space="preserve">Sprint 4</x:t>
  </x:si>
  <x:si>
    <x:t xml:space="preserve">7–8</x:t>
  </x:si>
  <x:si>
    <x:t xml:space="preserve">Estabilización, despliegue final y demostración</x:t>
  </x:si>
  <x:si>
    <x:t xml:space="preserve">Versión estable y evidencias de funcionamiento</x:t>
  </x:si>
  <x:si>
    <x:t xml:space="preserve">Regresión final, seguridad y verificación del despliegue</x:t>
  </x:si>
  <x:si>
    <x:t xml:space="preserve">Cierre planificado de ocho semanas. No es fecha oficial confirmada.</x:t>
  </x:si>
  <x:si>
    <x:t xml:space="preserve">Actividades</x:t>
  </x:si>
  <x:si>
    <x:t xml:space="preserve">Hechas</x:t>
  </x:si>
  <x:si>
    <x:t xml:space="preserve">Avance por tareas</x:t>
  </x:si>
  <x:si>
    <x:t xml:space="preserve">Hecho indica código incorporado a la rama main. La fecha real de cada evidencia está en Cronograma, columnas S a U, en hora de Colombia.</x:t>
  </x:si>
  <x:si>
    <x:t xml:space="preserve">Responsables previstos conservados del plan original. Las actividades nuevas se asignan como planificación y no acreditan autoría por commit.</x:t>
  </x:si>
  <x:si>
    <x:t xml:space="preserve">PyLevel  |  Plan detallado y Gantt semanal</x:t>
  </x:si>
  <x:si>
    <x:t xml:space="preserve">DESARROLLO Y PENDIENTES. FECHAS DEL PLAN DESDE EL 07/10/2026</x:t>
  </x:si>
  <x:si>
    <x:t xml:space="preserve">GANTT · SEMANAS DEL PROYECTO</x:t>
  </x:si>
  <x:si>
    <x:t xml:space="preserve">S1</x:t>
  </x:si>
  <x:si>
    <x:t xml:space="preserve">S2</x:t>
  </x:si>
  <x:si>
    <x:t xml:space="preserve">S3</x:t>
  </x:si>
  <x:si>
    <x:t xml:space="preserve">S4</x:t>
  </x:si>
  <x:si>
    <x:t xml:space="preserve">S5</x:t>
  </x:si>
  <x:si>
    <x:t xml:space="preserve">S6</x:t>
  </x:si>
  <x:si>
    <x:t xml:space="preserve">S7</x:t>
  </x:si>
  <x:si>
    <x:t xml:space="preserve">S8</x:t>
  </x:si>
  <x:si>
    <x:t xml:space="preserve">ID</x:t>
  </x:si>
  <x:si>
    <x:t xml:space="preserve">Actividad</x:t>
  </x:si>
  <x:si>
    <x:t xml:space="preserve">Responsable previsto</x:t>
  </x:si>
  <x:si>
    <x:t xml:space="preserve">Inicio plan</x:t>
  </x:si>
  <x:si>
    <x:t xml:space="preserve">Fin plan</x:t>
  </x:si>
  <x:si>
    <x:t xml:space="preserve">Días</x:t>
  </x:si>
  <x:si>
    <x:t xml:space="preserve">Depende de</x:t>
  </x:si>
  <x:si>
    <x:t xml:space="preserve">Entregable verificable</x:t>
  </x:si>
  <x:si>
    <x:t xml:space="preserve">Estado</x:t>
  </x:si>
  <x:si>
    <x:t xml:space="preserve">Fecha evidencia</x:t>
  </x:si>
  <x:si>
    <x:t xml:space="preserve">Evidencia GitHub</x:t>
  </x:si>
  <x:si>
    <x:t xml:space="preserve">Alcance / pendiente</x:t>
  </x:si>
  <x:si>
    <x:t xml:space="preserve">BASE-01</x:t>
  </x:si>
  <x:si>
    <x:t xml:space="preserve">Crear repositorio y estructura inicial de Astro</x:t>
  </x:si>
  <x:si>
    <x:t xml:space="preserve">Nicolas Camacho</x:t>
  </x:si>
  <x:si>
    <x:t xml:space="preserve">—</x:t>
  </x:si>
  <x:si>
    <x:t xml:space="preserve">Proyecto Astro, TypeScript, dependencias y configuración inicial</x:t>
  </x:si>
  <x:si>
    <x:t xml:space="preserve">Hecho</x:t>
  </x:si>
  <x:si>
    <x:t xml:space="preserve">https://github.com/NicolasSsC/PyLevel/commit/500dbbfa1e6b4f4c8038686ad8041522a3dafd6f</x:t>
  </x:si>
  <x:si>
    <x:t xml:space="preserve">ALG-01</x:t>
  </x:si>
  <x:si>
    <x:t xml:space="preserve">Definir contrato de ejecución de código Python</x:t>
  </x:si>
  <x:si>
    <x:t xml:space="preserve">Solicitud con archivos y acción. Respuesta con estado, salida y código de retorno</x:t>
  </x:si>
  <x:si>
    <x:t xml:space="preserve">https://github.com/NicolasSsC/PyLevel/commit/a55da253dc53af13a53481e341d7c91281c64112</x:t>
  </x:si>
  <x:si>
    <x:t xml:space="preserve">RET-01</x:t>
  </x:si>
  <x:si>
    <x:t xml:space="preserve">Definir reglas de los ejercicios contextualizados</x:t>
  </x:si>
  <x:si>
    <x:t xml:space="preserve">Enunciados de los ejercicios</x:t>
  </x:si>
  <x:si>
    <x:t xml:space="preserve">RET-02</x:t>
  </x:si>
  <x:si>
    <x:t xml:space="preserve">Incorporar tres proyectos Python con defectos</x:t>
  </x:si>
  <x:si>
    <x:t xml:space="preserve">Juan Carvajal / Camilo Jaimes</x:t>
  </x:si>
  <x:si>
    <x:t xml:space="preserve">Inventario, agenda de salas y facturación, con archivos iniciales y salidas esperadas</x:t>
  </x:si>
  <x:si>
    <x:t xml:space="preserve">UI-01</x:t>
  </x:si>
  <x:si>
    <x:t xml:space="preserve">Implementar editor de proyectos contextualizados</x:t>
  </x:si>
  <x:si>
    <x:t xml:space="preserve">Explorador de archivos, editor, terminal y acciones de ejecutar, probar y detener</x:t>
  </x:si>
  <x:si>
    <x:t xml:space="preserve">WS-01</x:t>
  </x:si>
  <x:si>
    <x:t xml:space="preserve">Guardar y recuperar borradores por ejercicio</x:t>
  </x:si>
  <x:si>
    <x:t xml:space="preserve">Persistencia de archivos en localStorage y recuperación del trabajo</x:t>
  </x:si>
  <x:si>
    <x:t xml:space="preserve">SEC-01</x:t>
  </x:si>
  <x:si>
    <x:t xml:space="preserve">Implementar prototipo de ejecutor con Docker y gVisor</x:t>
  </x:si>
  <x:si>
    <x:t xml:space="preserve">ALG-01, RET-02</x:t>
  </x:si>
  <x:si>
    <x:t xml:space="preserve">Contenedor por envío, límites de recursos, salida limitada y eliminación al terminar</x:t>
  </x:si>
  <x:si>
    <x:t xml:space="preserve">SEC-02</x:t>
  </x:si>
  <x:si>
    <x:t xml:space="preserve">Conectar interfaz y ejecutor mediante API de desarrollo</x:t>
  </x:si>
  <x:si>
    <x:t xml:space="preserve">UI-01, SEC-01</x:t>
  </x:si>
  <x:si>
    <x:t xml:space="preserve">Puente HTTP de ejecución, cancelación y control de una solicitud simultánea</x:t>
  </x:si>
  <x:si>
    <x:t xml:space="preserve">QA-DEV</x:t>
  </x:si>
  <x:si>
    <x:t xml:space="preserve">Agregar pruebas automatizadas del ejecutor</x:t>
  </x:si>
  <x:si>
    <x:t xml:space="preserve">Suite para múltiples archivos, restricciones, timeout, salida y rutas inválidas</x:t>
  </x:si>
  <x:si>
    <x:t xml:space="preserve">QA-01</x:t>
  </x:si>
  <x:si>
    <x:t xml:space="preserve">Agregar pruebas públicas y casos límite a los retos</x:t>
  </x:si>
  <x:si>
    <x:t xml:space="preserve">Santiago Cuervo</x:t>
  </x:si>
  <x:si>
    <x:t xml:space="preserve">Pruebas públicas por proyecto y criterios de aceptación en los enunciados</x:t>
  </x:si>
  <x:si>
    <x:t xml:space="preserve">ALG-03</x:t>
  </x:si>
  <x:si>
    <x:t xml:space="preserve">Implementar formato de resultados de ejecución</x:t>
  </x:si>
  <x:si>
    <x:t xml:space="preserve">ALG-01, SEC-02</x:t>
  </x:si>
  <x:si>
    <x:t xml:space="preserve">Estado de ejecución, terminal y código de salida integrados con el cliente</x:t>
  </x:si>
  <x:si>
    <x:t xml:space="preserve">CAT-01</x:t>
  </x:si>
  <x:si>
    <x:t xml:space="preserve">Crear catálogo de cinco ejercicios clásicos</x:t>
  </x:si>
  <x:si>
    <x:t xml:space="preserve">Operadores lógicos, for, if, Bubble Sort y lambdas con ejemplos, pistas y pruebas</x:t>
  </x:si>
  <x:si>
    <x:t xml:space="preserve">https://github.com/NicolasSsC/PyLevel/commit/cdc9a5ba940aff02812ba33be2a849f7bebc62c3</x:t>
  </x:si>
  <x:si>
    <x:t xml:space="preserve">UI-02</x:t>
  </x:si>
  <x:si>
    <x:t xml:space="preserve">Implementar editor de ejercicios clásicos</x:t>
  </x:si>
  <x:si>
    <x:t xml:space="preserve">CAT-01, ALG-03</x:t>
  </x:si>
  <x:si>
    <x:t xml:space="preserve">Enunciado, salida esperada, editor único, pistas y terminal</x:t>
  </x:si>
  <x:si>
    <x:t xml:space="preserve">CAT-02</x:t>
  </x:si>
  <x:si>
    <x:t xml:space="preserve">Crear modalidades, rutas y filtros del catálogo</x:t>
  </x:si>
  <x:si>
    <x:t xml:space="preserve">CAT-01, UI-01</x:t>
  </x:si>
  <x:si>
    <x:t xml:space="preserve">Listados clásicos y contextualizados con dificultad, temas, contador y estado vacío</x:t>
  </x:si>
  <x:si>
    <x:t xml:space="preserve">UX-01</x:t>
  </x:si>
  <x:si>
    <x:t xml:space="preserve">Añadir presentación inicial de proyectos</x:t>
  </x:si>
  <x:si>
    <x:t xml:space="preserve">Modal con situación, pregunta, archivos y resultado esperado de cada proyecto</x:t>
  </x:si>
  <x:si>
    <x:t xml:space="preserve">https://github.com/NicolasSsC/PyLevel/commit/b48333f9f8ff58de4d6fca2f0666180ed453de13</x:t>
  </x:si>
  <x:si>
    <x:t xml:space="preserve">UI-03</x:t>
  </x:si>
  <x:si>
    <x:t xml:space="preserve">Implementar barra de navegación superior</x:t>
  </x:si>
  <x:si>
    <x:t xml:space="preserve">Navegación, selector de tema, notificaciones y menú de perfil</x:t>
  </x:si>
  <x:si>
    <x:t xml:space="preserve">UI-04</x:t>
  </x:si>
  <x:si>
    <x:t xml:space="preserve">Ajustar tema claro, contraste e iconografía</x:t>
  </x:si>
  <x:si>
    <x:t xml:space="preserve">UI-03, UI-02</x:t>
  </x:si>
  <x:si>
    <x:t xml:space="preserve">Estilos compartidos, correcciones de contraste e iconos SVG</x:t>
  </x:si>
  <x:si>
    <x:t xml:space="preserve">DB-02</x:t>
  </x:si>
  <x:si>
    <x:t xml:space="preserve">Implementar conexión PostgreSQL y consulta de perfiles</x:t>
  </x:si>
  <x:si>
    <x:t xml:space="preserve">Nicolas Camacho/ Kevin Pardo</x:t>
  </x:si>
  <x:si>
    <x:t xml:space="preserve">Pool PostgreSQL y consultas de usuarios y perfiles con variables de entorno</x:t>
  </x:si>
  <x:si>
    <x:t xml:space="preserve">AUTH-01</x:t>
  </x:si>
  <x:si>
    <x:t xml:space="preserve">Implementar registro de usuarios</x:t>
  </x:si>
  <x:si>
    <x:t xml:space="preserve">Formulario y API de registro, validaciones, hash bcrypt y creación de perfil</x:t>
  </x:si>
  <x:si>
    <x:t xml:space="preserve">https://github.com/NicolasSsC/PyLevel/commit/826efc26023a185bf67c402c07dde7e7bfc42617</x:t>
  </x:si>
  <x:si>
    <x:t xml:space="preserve">AUTH-02</x:t>
  </x:si>
  <x:si>
    <x:t xml:space="preserve">Implementar inicio y cierre de sesión</x:t>
  </x:si>
  <x:si>
    <x:t xml:space="preserve">Login, logout, consulta del usuario y formularios de autenticación</x:t>
  </x:si>
  <x:si>
    <x:t xml:space="preserve">PERF-01</x:t>
  </x:si>
  <x:si>
    <x:t xml:space="preserve">Implementar perfil y actividad local del usuario</x:t>
  </x:si>
  <x:si>
    <x:t xml:space="preserve">AUTH-01, AUTH-02, WS-01</x:t>
  </x:si>
  <x:si>
    <x:t xml:space="preserve">Página de perfil con datos del usuario y acceso a borradores locales</x:t>
  </x:si>
  <x:si>
    <x:t xml:space="preserve">ALG-04</x:t>
  </x:si>
  <x:si>
    <x:t xml:space="preserve">Crear animación didáctica de Bubble Sort</x:t>
  </x:si>
  <x:si>
    <x:t xml:space="preserve">Visualización de comparaciones, intercambios y pasadas del algoritmo</x:t>
  </x:si>
  <x:si>
    <x:t xml:space="preserve">https://github.com/NicolasSsC/PyLevel/commit/ce6876b0f669a3bff356a466868fb545d2082b92</x:t>
  </x:si>
  <x:si>
    <x:t xml:space="preserve">UI-05</x:t>
  </x:si>
  <x:si>
    <x:t xml:space="preserve">Corregir textos de la sección de ejercicios</x:t>
  </x:si>
  <x:si>
    <x:t xml:space="preserve">Textos y presentación de modalidades actualizados en ExerciseHub</x:t>
  </x:si>
  <x:si>
    <x:t xml:space="preserve">https://github.com/NicolasSsC/PyLevel/commit/37522da295b320a219f86c1bd74a4550c8761c96</x:t>
  </x:si>
  <x:si>
    <x:t xml:space="preserve">DOC-DEV</x:t>
  </x:si>
  <x:si>
    <x:t xml:space="preserve">Documentar uso y límites del prototipo</x:t>
  </x:si>
  <x:si>
    <x:t xml:space="preserve">README del núcleo y del ejecutor con preparación y limitaciones técnicas</x:t>
  </x:si>
</x:sst>
</file>

<file path=xl/styles.xml><?xml version="1.0" encoding="utf-8"?>
<x:styleSheet xmlns:x="http://schemas.openxmlformats.org/spreadsheetml/2006/main">
  <x:numFmts count="3">
    <x:numFmt numFmtId="164" formatCode="dd mmm yyyy"/>
    <x:numFmt numFmtId="165" formatCode="dd mmm"/>
    <x:numFmt numFmtId="166" formatCode="dd/mm/yyyy"/>
  </x:numFmts>
  <x:fonts count="11">
    <x:font>
      <x:sz val="11"/>
      <x:color rgb="FF000000"/>
      <x:name val="Carlito"/>
      <x:scheme val="minor"/>
    </x:font>
    <x:font>
      <x:b/>
      <x:sz val="18"/>
      <x:color rgb="FFFFFFFF"/>
      <x:name val="Carlito"/>
    </x:font>
    <x:font>
      <x:b/>
      <x:sz val="17"/>
      <x:color rgb="FFFFFFFF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15324A"/>
      <x:name val="Carlito"/>
    </x:font>
    <x:font>
      <x:sz val="11"/>
      <x:color rgb="FF15324A"/>
      <x:name val="Carlito"/>
    </x:font>
    <x:font>
      <x:sz val="11"/>
      <x:color theme="1"/>
      <x:name val="Carlito"/>
    </x:font>
    <x:font>
      <x:i/>
      <x:sz val="11"/>
      <x:color rgb="FF526473"/>
      <x:name val="Carlito"/>
    </x:font>
    <x:font>
      <x:sz val="11"/>
      <x:color rgb="FF526473"/>
      <x:name val="Carlito"/>
    </x:font>
    <x:font>
      <x:b/>
      <x:sz val="11"/>
      <x:color rgb="FF1F7887"/>
      <x:name val="Carlito"/>
    </x:font>
  </x:fonts>
  <x:fills count="8">
    <x:fill>
      <x:patternFill patternType="none"/>
    </x:fill>
    <x:fill>
      <x:patternFill patternType="lightGray"/>
    </x:fill>
    <x:fill>
      <x:patternFill patternType="solid">
        <x:fgColor rgb="FF15324A"/>
      </x:patternFill>
    </x:fill>
    <x:fill>
      <x:patternFill patternType="solid">
        <x:fgColor rgb="FF1D4866"/>
      </x:patternFill>
    </x:fill>
    <x:fill>
      <x:patternFill patternType="solid">
        <x:fgColor rgb="FFEAF2F7"/>
      </x:patternFill>
    </x:fill>
    <x:fill>
      <x:patternFill patternType="solid">
        <x:fgColor rgb="FF1E7885"/>
      </x:patternFill>
    </x:fill>
    <x:fill>
      <x:patternFill patternType="solid">
        <x:fgColor rgb="FF1F4E67"/>
      </x:patternFill>
    </x:fill>
    <x:fill>
      <x:patternFill patternType="solid">
        <x:fgColor rgb="FFF4F7FA"/>
      </x:patternFill>
    </x:fill>
  </x:fills>
  <x:borders count="2">
    <x:border/>
    <x:border>
      <x:bottom style="thin">
        <x:color rgb="FFE4EAF0"/>
      </x:bottom>
    </x:border>
  </x:borders>
  <x:cellStyleXfs count="1">
    <x:xf numFmtId="0" fontId="0" fillId="0" borderId="0" applyFont="1" applyAlignment="1"/>
  </x:cellStyleXfs>
  <x:cellXfs count="34">
    <x:xf numFmtId="0" fontId="0" fillId="0" borderId="0" xfId="0" applyFont="1" applyAlignment="1">
      <x:alignment vertical="bottom" wrapText="0" shrinkToFit="0"/>
    </x:xf>
    <x:xf numFmtId="0" fontId="1" fillId="2" borderId="0" xfId="0" applyFont="1" applyFill="1" applyAlignment="1">
      <x:alignment vertical="center"/>
    </x:xf>
    <x:xf numFmtId="0" fontId="2" fillId="2" borderId="0" xfId="0" applyFont="1" applyFill="1"/>
    <x:xf numFmtId="0" fontId="3" fillId="3" borderId="0" xfId="0" applyFont="1" applyFill="1" applyAlignment="1">
      <x:alignment vertical="center"/>
    </x:xf>
    <x:xf numFmtId="0" fontId="4" fillId="3" borderId="0" xfId="0" applyFont="1" applyFill="1"/>
    <x:xf numFmtId="0" fontId="5" fillId="4" borderId="0" xfId="0" applyFont="1" applyFill="1" applyAlignment="1">
      <x:alignment vertical="center"/>
    </x:xf>
    <x:xf numFmtId="0" fontId="4" fillId="5" borderId="0" xfId="0" applyFont="1" applyFill="1" applyAlignment="1">
      <x:alignment horizontal="center"/>
    </x:xf>
    <x:xf numFmtId="164" fontId="6" fillId="4" borderId="0" xfId="0" applyNumberFormat="1" applyFont="1" applyFill="1" applyAlignment="1">
      <x:alignment vertical="center"/>
    </x:xf>
    <x:xf numFmtId="0" fontId="4" fillId="6" borderId="0" xfId="0" applyFont="1" applyFill="1"/>
    <x:xf numFmtId="0" fontId="4" fillId="5" borderId="0" xfId="0" applyFont="1" applyFill="1" applyAlignment="1">
      <x:alignment vertical="center" wrapText="1" shrinkToFit="0"/>
    </x:xf>
    <x:xf numFmtId="0" fontId="4" fillId="3" borderId="0" xfId="0" applyFont="1" applyFill="1" applyAlignment="1">
      <x:alignment horizontal="center" vertical="center" wrapText="1" shrinkToFit="0"/>
    </x:xf>
    <x:xf numFmtId="0" fontId="7" fillId="7" borderId="0" xfId="0" applyFont="1" applyFill="1" applyAlignment="1">
      <x:alignment vertical="center" wrapText="1" shrinkToFit="0"/>
    </x:xf>
    <x:xf numFmtId="164" fontId="7" fillId="7" borderId="0" xfId="0" applyNumberFormat="1" applyFont="1" applyFill="1" applyAlignment="1">
      <x:alignment vertical="center" wrapText="1" shrinkToFit="0"/>
    </x:xf>
    <x:xf numFmtId="0" fontId="7" fillId="0" borderId="0" xfId="0" applyFont="1" applyAlignment="1">
      <x:alignment vertical="center" wrapText="1" shrinkToFit="0"/>
    </x:xf>
    <x:xf numFmtId="164" fontId="7" fillId="0" borderId="0" xfId="0" applyNumberFormat="1" applyFont="1" applyAlignment="1">
      <x:alignment vertical="center" wrapText="1" shrinkToFit="0"/>
    </x:xf>
    <x:xf numFmtId="0" fontId="5" fillId="0" borderId="0" xfId="0" applyFont="1" applyAlignment="1">
      <x:alignment vertical="bottom" wrapText="0" shrinkToFit="0"/>
    </x:xf>
    <x:xf numFmtId="165" fontId="4" fillId="3" borderId="0" xfId="0" applyNumberFormat="1" applyFont="1" applyFill="1" applyAlignment="1">
      <x:alignment horizontal="center"/>
    </x:xf>
    <x:xf numFmtId="166" fontId="7" fillId="7" borderId="0" xfId="0" applyNumberFormat="1" applyFont="1" applyFill="1" applyAlignment="1">
      <x:alignment vertical="center" wrapText="1" shrinkToFit="0"/>
    </x:xf>
    <x:xf numFmtId="9" fontId="5" fillId="0" borderId="0" xfId="0" applyNumberFormat="1" applyFont="1" applyAlignment="1">
      <x:alignment vertical="bottom" wrapText="0" shrinkToFit="0"/>
    </x:xf>
    <x:xf numFmtId="1" fontId="7" fillId="7" borderId="0" xfId="0" applyNumberFormat="1" applyFont="1" applyFill="1" applyAlignment="1">
      <x:alignment vertical="center" wrapText="1" shrinkToFit="0"/>
    </x:xf>
    <x:xf numFmtId="0" fontId="8" fillId="0" borderId="0" xfId="0" applyFont="1"/>
    <x:xf numFmtId="0" fontId="9" fillId="0" borderId="0" xfId="0" applyFont="1" applyAlignment="1">
      <x:alignment vertical="bottom" wrapText="0" shrinkToFit="0"/>
    </x:xf>
    <x:xf numFmtId="0" fontId="10" fillId="0" borderId="0" xfId="0" applyFont="1" applyAlignment="1">
      <x:alignment horizontal="center" vertical="center"/>
    </x:xf>
    <x:xf numFmtId="166" fontId="9" fillId="0" borderId="0" xfId="0" applyNumberFormat="1" applyFont="1" applyAlignment="1">
      <x:alignment vertical="center" wrapText="1" shrinkToFit="0"/>
    </x:xf>
    <x:xf numFmtId="0" fontId="9" fillId="0" borderId="0" xfId="0" applyFont="1" applyAlignment="1">
      <x:alignment vertical="center" wrapText="1" shrinkToFit="0"/>
    </x:xf>
    <x:xf numFmtId="166" fontId="7" fillId="0" borderId="0" xfId="0" applyNumberFormat="1" applyFont="1" applyAlignment="1">
      <x:alignment vertical="center" wrapText="1" shrinkToFit="0"/>
    </x:xf>
    <x:xf numFmtId="1" fontId="7" fillId="0" borderId="0" xfId="0" applyNumberFormat="1" applyFont="1" applyAlignment="1">
      <x:alignment vertical="center" wrapText="1" shrinkToFit="0"/>
    </x:xf>
    <x:xf numFmtId="0" fontId="7" fillId="7" borderId="0" xfId="0" applyFont="1" applyFill="1" applyAlignment="1">
      <x:alignment vertical="center" wrapText="1" shrinkToFit="0"/>
    </x:xf>
    <x:xf numFmtId="166" fontId="9" fillId="0" borderId="1" xfId="0" applyNumberFormat="1" applyFont="1" applyBorder="1" applyAlignment="1">
      <x:alignment vertical="center" wrapText="1" shrinkToFit="0"/>
    </x:xf>
    <x:xf numFmtId="0" fontId="9" fillId="0" borderId="1" xfId="0" applyFont="1" applyBorder="1" applyAlignment="1">
      <x:alignment vertical="center" wrapText="1" shrinkToFit="0"/>
    </x:xf>
    <x:xf numFmtId="166" fontId="7" fillId="7" borderId="0" xfId="0" applyNumberFormat="1" applyFont="1" applyFill="1" applyBorder="1" applyAlignment="1">
      <x:alignment vertical="center" wrapText="1"/>
    </x:xf>
    <x:xf numFmtId="166" fontId="7" fillId="0" borderId="0" xfId="0" applyNumberFormat="1" applyFont="1" applyFill="1" applyBorder="1" applyAlignment="1">
      <x:alignment vertical="center" wrapText="1"/>
    </x:xf>
    <x:xf numFmtId="166" fontId="9" fillId="0" borderId="0" xfId="0" applyNumberFormat="1" applyFont="1" applyFill="1" applyBorder="1" applyAlignment="1">
      <x:alignment vertical="center" wrapText="1"/>
    </x:xf>
    <x:xf numFmtId="166" fontId="9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4">
    <x:dxf>
      <x:font>
        <x:color rgb="FF246C4D"/>
      </x:font>
      <x:fill>
        <x:patternFill>
          <x:bgColor rgb="FFE5F3EC"/>
        </x:patternFill>
      </x:fill>
      <x:border/>
    </x:dxf>
    <x:dxf>
      <x:font>
        <x:color rgb="FF9C302B"/>
      </x:font>
      <x:fill>
        <x:patternFill>
          <x:bgColor rgb="FFFCE8E6"/>
        </x:patternFill>
      </x:fill>
      <x:border/>
    </x:dxf>
    <x:dxf>
      <x:font>
        <x:color rgb="FF806016"/>
      </x:font>
      <x:fill>
        <x:patternFill>
          <x:bgColor rgb="FFFFF1CB"/>
        </x:patternFill>
      </x:fill>
      <x:border/>
    </x:dxf>
    <x:dxf>
      <x:fill>
        <x:patternFill>
          <x:bgColor rgb="FFD5EEF2"/>
        </x:patternFill>
      </x:fill>
      <x:border/>
    </x:dxf>
    <x:dxf>
      <x:fill>
        <x:patternFill>
          <x:bgColor rgb="FFDCE8F7"/>
        </x:patternFill>
      </x:fill>
      <x:border/>
    </x:dxf>
    <x:dxf>
      <x:fill>
        <x:patternFill>
          <x:bgColor rgb="FFFCE6CB"/>
        </x:patternFill>
      </x:fill>
      <x:border/>
    </x:dxf>
    <x:dxf>
      <x:fill>
        <x:patternFill>
          <x:bgColor rgb="FFE7E0F1"/>
        </x:patternFill>
      </x:fill>
      <x:border/>
    </x:dxf>
    <x:dxf>
      <x:font>
        <x:color rgb="FF246C4D"/>
      </x:font>
      <x:fill>
        <x:patternFill patternType="solid">
          <x:bgColor rgb="FFE5F3EC"/>
        </x:patternFill>
      </x:fill>
    </x:dxf>
    <x:dxf>
      <x:font>
        <x:color rgb="FF9C302B"/>
      </x:font>
      <x:fill>
        <x:patternFill patternType="solid">
          <x:bgColor rgb="FFFCE8E6"/>
        </x:patternFill>
      </x:fill>
    </x:dxf>
    <x:dxf>
      <x:font>
        <x:color rgb="FF806016"/>
      </x:font>
      <x:fill>
        <x:patternFill patternType="solid">
          <x:bgColor rgb="FFFFF1CB"/>
        </x:patternFill>
      </x:fill>
    </x:dxf>
    <x:dxf>
      <x:fill>
        <x:patternFill patternType="solid">
          <x:bgColor rgb="FFD5EEF2"/>
        </x:patternFill>
      </x:fill>
    </x:dxf>
    <x:dxf>
      <x:fill>
        <x:patternFill patternType="solid">
          <x:bgColor rgb="FFDCE8F7"/>
        </x:patternFill>
      </x:fill>
    </x:dxf>
    <x:dxf>
      <x:fill>
        <x:patternFill patternType="solid">
          <x:bgColor rgb="FFFCE6CB"/>
        </x:patternFill>
      </x:fill>
    </x:dxf>
    <x:dxf>
      <x:fill>
        <x:patternFill patternType="solid">
          <x:bgColor rgb="FFE7E0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3974a4dd61415b" /><Relationship Type="http://schemas.openxmlformats.org/officeDocument/2006/relationships/theme" Target="/xl/theme/theme1.xml" Id="R1226b4bd6f9a4f63" /><Relationship Type="http://schemas.openxmlformats.org/officeDocument/2006/relationships/sharedStrings" Target="/xl/sharedStrings.xml" Id="R89da78762c8b49cf" /><Relationship Type="http://schemas.openxmlformats.org/officeDocument/2006/relationships/worksheet" Target="/xl/worksheets/sheet1.xml" Id="R35deadc5b7bb456e" /><Relationship Type="http://schemas.openxmlformats.org/officeDocument/2006/relationships/worksheet" Target="/xl/worksheets/sheet2.xml" Id="R44d7367f25c8440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3" width="16" customWidth="1"/>
    <x:col min="4" max="4" width="13" customWidth="1"/>
    <x:col min="5" max="5" width="44" customWidth="1"/>
    <x:col min="6" max="6" width="48" customWidth="1"/>
    <x:col min="7" max="7" width="38" customWidth="1"/>
    <x:col min="8" max="8" width="48" customWidth="1"/>
  </x:cols>
  <x:sheetData>
    <x:row r="1" ht="42" customHeight="1">
      <x:c r="A1" s="1" t="s">
        <x:v>0</x:v>
      </x:c>
    </x:row>
    <x:row r="2" ht="25.5" customHeight="1">
      <x:c r="A2" s="3" t="str">
        <x:v>Ingeniería de Software II. Avance de desarrollo al 18 de octubre de 2026</x:v>
      </x:c>
    </x:row>
    <x:row r="4" ht="28.5" customHeight="1">
      <x:c r="A4" s="5" t="s">
        <x:v>1</x:v>
      </x:c>
      <x:c r="B4" s="7">
        <x:v>46302.0</x:v>
      </x:c>
      <x:c r="C4" s="5" t="s">
        <x:v>2</x:v>
      </x:c>
      <x:c r="D4" s="7">
        <x:v>46357.0</x:v>
      </x:c>
      <x:c r="E4" s="5" t="s">
        <x:v>3</x:v>
      </x:c>
      <x:c r="F4" s="5" t="s">
        <x:v>4</x:v>
      </x:c>
      <x:c r="G4" s="5" t="s">
        <x:v>5</x:v>
      </x:c>
      <x:c r="H4" s="5">
        <x:v>4.0</x:v>
      </x:c>
    </x:row>
    <x:row r="6" ht="24.75" customHeight="1">
      <x:c r="A6" s="4" t="s">
        <x:v>6</x:v>
      </x:c>
    </x:row>
    <x:row r="7" ht="30" customHeight="1">
      <x:c r="A7" s="9" t="s">
        <x:v>7</x:v>
      </x:c>
      <x:c r="B7" s="9" t="s">
        <x:v>1</x:v>
      </x:c>
      <x:c r="C7" s="9" t="s">
        <x:v>8</x:v>
      </x:c>
      <x:c r="D7" s="9" t="s">
        <x:v>9</x:v>
      </x:c>
      <x:c r="E7" s="9" t="s">
        <x:v>10</x:v>
      </x:c>
      <x:c r="F7" s="9" t="s">
        <x:v>11</x:v>
      </x:c>
      <x:c r="G7" s="9" t="s">
        <x:v>12</x:v>
      </x:c>
      <x:c r="H7" s="9" t="s">
        <x:v>13</x:v>
      </x:c>
    </x:row>
    <x:row r="8" ht="87.75" customHeight="1">
      <x:c r="A8" s="11" t="s">
        <x:v>14</x:v>
      </x:c>
      <x:c r="B8" s="12">
        <x:v>46302.0</x:v>
      </x:c>
      <x:c r="C8" s="12">
        <x:v>46315.0</x:v>
      </x:c>
      <x:c r="D8" s="11" t="s">
        <x:v>15</x:v>
      </x:c>
      <x:c r="E8" s="11" t="str">
        <x:v>Prototipo con ejercicios, examen, perfil, métricas, portada y control local de cámara</x:v>
      </x:c>
      <x:c r="F8" s="11" t="str">
        <x:v>39 actividades incorporadas. Sesiones y persistencia verificadas; validación del ejecutor pendiente</x:v>
      </x:c>
      <x:c r="G8" s="11" t="str">
        <x:v>24 pruebas automatizadas aprobadas, comprobación HTTP y pruebas de interfaz con cámara simulada</x:v>
      </x:c>
      <x:c r="H8" s="11" t="str">
        <x:v>Actualización del 17 al 18/10. Evidencia Git incorporada el 18/10. Pendiente validar Docker/runsc.</x:v>
      </x:c>
    </x:row>
    <x:row r="9" ht="87.75" customHeight="1">
      <x:c r="A9" s="13" t="s">
        <x:v>16</x:v>
      </x:c>
      <x:c r="B9" s="14">
        <x:v>46316.0</x:v>
      </x:c>
      <x:c r="C9" s="14">
        <x:v>46329.0</x:v>
      </x:c>
      <x:c r="D9" s="13" t="s">
        <x:v>17</x:v>
      </x:c>
      <x:c r="E9" s="13" t="str">
        <x:v>Calificación oficial, integración y preparación para producción</x:v>
      </x:c>
      <x:c r="F9" s="13" t="s">
        <x:v>18</x:v>
      </x:c>
      <x:c r="G9" s="13" t="s">
        <x:v>19</x:v>
      </x:c>
      <x:c r="H9" s="13" t="s">
        <x:v>20</x:v>
      </x:c>
    </x:row>
    <x:row r="10" ht="87.75" customHeight="1">
      <x:c r="A10" s="11" t="s">
        <x:v>21</x:v>
      </x:c>
      <x:c r="B10" s="12">
        <x:v>46330.0</x:v>
      </x:c>
      <x:c r="C10" s="12">
        <x:v>46343.0</x:v>
      </x:c>
      <x:c r="D10" s="11" t="s">
        <x:v>22</x:v>
      </x:c>
      <x:c r="E10" s="11" t="s">
        <x:v>23</x:v>
      </x:c>
      <x:c r="F10" s="11" t="s">
        <x:v>24</x:v>
      </x:c>
      <x:c r="G10" s="11" t="s">
        <x:v>25</x:v>
      </x:c>
      <x:c r="H10" s="11" t="s">
        <x:v>26</x:v>
      </x:c>
    </x:row>
    <x:row r="11" ht="87.75" customHeight="1">
      <x:c r="A11" s="13" t="s">
        <x:v>27</x:v>
      </x:c>
      <x:c r="B11" s="14">
        <x:v>46344.0</x:v>
      </x:c>
      <x:c r="C11" s="14">
        <x:v>46357.0</x:v>
      </x:c>
      <x:c r="D11" s="13" t="s">
        <x:v>28</x:v>
      </x:c>
      <x:c r="E11" s="13" t="s">
        <x:v>29</x:v>
      </x:c>
      <x:c r="F11" s="13" t="s">
        <x:v>30</x:v>
      </x:c>
      <x:c r="G11" s="13" t="s">
        <x:v>31</x:v>
      </x:c>
      <x:c r="H11" s="13" t="s">
        <x:v>32</x:v>
      </x:c>
    </x:row>
    <x:row r="13" ht="24.75" customHeight="1">
      <x:c r="A13" s="4" t="str">
        <x:v>AVANCE DE DESARROLLO AL 18/10/2026</x:v>
      </x:c>
    </x:row>
    <x:row r="14" ht="31.5" customHeight="1">
      <x:c r="A14" s="15" t="s">
        <x:v>33</x:v>
      </x:c>
      <x:c r="B14" s="15" t="n">
        <x:f>COUNTA('Cronograma'!A5:A61)</x:f>
        <x:v>57</x:v>
      </x:c>
      <x:c r="C14" s="15" t="s">
        <x:v>34</x:v>
      </x:c>
      <x:c r="D14" s="15" t="n">
        <x:f>COUNTIFS('Cronograma'!J5:J61,"Hecho")</x:f>
        <x:v>39</x:v>
      </x:c>
      <x:c r="E14" s="15" t="str">
        <x:v>Por completar</x:v>
      </x:c>
      <x:c r="F14" s="15" t="n">
        <x:f>B14-D14</x:f>
        <x:v>18</x:v>
      </x:c>
      <x:c r="G14" s="15" t="s">
        <x:v>35</x:v>
      </x:c>
      <x:c r="H14" s="18" t="n">
        <x:f>D14/B14</x:f>
        <x:v>0.6842105263157895</x:v>
      </x:c>
    </x:row>
    <x:row r="15" ht="25.5" customHeight="1">
      <x:c r="A15" s="20"/>
    </x:row>
    <x:row r="16" ht="25.5" customHeight="1">
      <x:c r="A16" s="21" t="str">
        <x:v>Se conserva el plan inicial. El avance de esta actualización se ubica entre el 17 y el 18/10/2026; sus evidencias Git corresponden al 18/10.</x:v>
      </x:c>
    </x:row>
    <x:row r="17" ht="25.5" customHeight="1">
      <x:c r="A17" s="21" t="s">
        <x:v>36</x:v>
      </x:c>
    </x:row>
    <x:row r="18" ht="25.5" customHeight="1">
      <x:c r="A18" s="21" t="s">
        <x:v>37</x:v>
      </x:c>
    </x:row>
    <x:row r="19" ht="25.5" customHeight="1">
      <x:c r="A19" s="21" t="str">
        <x:v>El avance cuenta tareas sin ponderar esfuerzo. Por completar incluye las actividades pendientes y en curso; no equivale al porcentaje funcional del producto.</x:v>
      </x:c>
    </x:row>
    <x:row r="20" ht="15.75" customHeight="1"/>
    <x:row r="21" ht="25.5" customHeight="1">
      <x:c r="A21" s="21" t="str">
        <x:v>Pendientes principales: calificación oficial y pruebas ocultas, validación con gVisor, cola y cuotas de producción, integración y despliegue.</x:v>
      </x:c>
    </x:row>
    <x:row r="22" ht="15.75" customHeight="1"/>
    <x:row r="23" ht="25.5" customHeight="1">
      <x:c r="A23" s="21" t="str">
        <x:v>Repositorio: https://github.com/NicolasSsC/PyLevel (rama main). Corte de revisión: 18/10/2026, commits 9fa0e33 y cb83adb.</x:v>
      </x:c>
    </x:row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9:H19"/>
    <x:mergeCell ref="A21:H21"/>
    <x:mergeCell ref="A23:H23"/>
    <x:mergeCell ref="A1:H1"/>
    <x:mergeCell ref="A2:H2"/>
    <x:mergeCell ref="A6:H6"/>
    <x:mergeCell ref="A13:H13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4" topLeftCell="D5" activePane="bottomRight" state="frozen"/>
    </x:sheetView>
  </x:sheetViews>
  <x:sheetFormatPr defaultColWidth="12.630000114440918" defaultRowHeight="15"/>
  <x:cols>
    <x:col min="1" max="1" width="11" customWidth="1"/>
    <x:col min="2" max="2" width="12" customWidth="1"/>
    <x:col min="3" max="3" width="45" customWidth="1"/>
    <x:col min="4" max="4" width="24" customWidth="1"/>
    <x:col min="5" max="6" width="15" customWidth="1"/>
    <x:col min="7" max="7" width="7" customWidth="1"/>
    <x:col min="8" max="8" width="27" customWidth="1"/>
    <x:col min="9" max="9" width="59" customWidth="1"/>
    <x:col min="10" max="10" width="15" customWidth="1"/>
    <x:col min="11" max="18" width="12" customWidth="1"/>
    <x:col min="19" max="21" width="8.630000114440918" customWidth="1"/>
    <x:col min="19" max="19" width="17" hidden="0" customWidth="1"/>
    <x:col min="20" max="20" width="58" hidden="0" customWidth="1"/>
    <x:col min="21" max="21" width="66" hidden="0" customWidth="1"/>
  </x:cols>
  <x:sheetData>
    <x:row r="1" ht="42" customHeight="1">
      <x:c r="A1" s="2" t="s">
        <x:v>38</x:v>
      </x:c>
    </x:row>
    <x:row r="2" ht="24.75" customHeight="1">
      <x:c r="A2" s="4" t="s">
        <x:v>39</x:v>
      </x:c>
      <x:c r="K2" s="6" t="s">
        <x:v>40</x:v>
      </x:c>
      <x:c r="S2" s="8" t="str">
        <x:v>EVIDENCIA DEL DESARROLLO AL 18/10/2026</x:v>
      </x:c>
    </x:row>
    <x:row r="3" ht="19.5" customHeight="1">
      <x:c r="K3" s="6" t="s">
        <x:v>41</x:v>
      </x:c>
      <x:c r="L3" s="6" t="s">
        <x:v>42</x:v>
      </x:c>
      <x:c r="M3" s="6" t="s">
        <x:v>43</x:v>
      </x:c>
      <x:c r="N3" s="6" t="s">
        <x:v>44</x:v>
      </x:c>
      <x:c r="O3" s="6" t="s">
        <x:v>45</x:v>
      </x:c>
      <x:c r="P3" s="6" t="s">
        <x:v>46</x:v>
      </x:c>
      <x:c r="Q3" s="6" t="s">
        <x:v>47</x:v>
      </x:c>
      <x:c r="R3" s="6" t="s">
        <x:v>48</x:v>
      </x:c>
    </x:row>
    <x:row r="4" ht="33.75" customHeight="1">
      <x:c r="A4" s="10" t="s">
        <x:v>49</x:v>
      </x:c>
      <x:c r="B4" s="10" t="s">
        <x:v>7</x:v>
      </x:c>
      <x:c r="C4" s="10" t="s">
        <x:v>50</x:v>
      </x:c>
      <x:c r="D4" s="10" t="s">
        <x:v>51</x:v>
      </x:c>
      <x:c r="E4" s="10" t="s">
        <x:v>52</x:v>
      </x:c>
      <x:c r="F4" s="10" t="s">
        <x:v>53</x:v>
      </x:c>
      <x:c r="G4" s="10" t="s">
        <x:v>54</x:v>
      </x:c>
      <x:c r="H4" s="10" t="s">
        <x:v>55</x:v>
      </x:c>
      <x:c r="I4" s="10" t="s">
        <x:v>56</x:v>
      </x:c>
      <x:c r="J4" s="10" t="s">
        <x:v>57</x:v>
      </x:c>
      <x:c r="K4" s="16" t="n">
        <x:f>Resumen!$B$4</x:f>
        <x:v>46302</x:v>
      </x:c>
      <x:c r="L4" s="16" t="n">
        <x:f t="shared" ref="L4:R4" si="1">K4+7</x:f>
        <x:v>46309</x:v>
      </x:c>
      <x:c r="M4" s="16" t="n">
        <x:f t="shared" si="1">L4+7</x:f>
        <x:v>46316</x:v>
      </x:c>
      <x:c r="N4" s="16" t="n">
        <x:f t="shared" si="1">M4+7</x:f>
        <x:v>46323</x:v>
      </x:c>
      <x:c r="O4" s="16" t="n">
        <x:f t="shared" si="1">N4+7</x:f>
        <x:v>46330</x:v>
      </x:c>
      <x:c r="P4" s="16" t="n">
        <x:f t="shared" si="1">O4+7</x:f>
        <x:v>46337</x:v>
      </x:c>
      <x:c r="Q4" s="16" t="n">
        <x:f t="shared" si="1">P4+7</x:f>
        <x:v>46344</x:v>
      </x:c>
      <x:c r="R4" s="16" t="n">
        <x:f t="shared" si="1">Q4+7</x:f>
        <x:v>46351</x:v>
      </x:c>
      <x:c r="S4" s="10" t="s">
        <x:v>58</x:v>
      </x:c>
      <x:c r="T4" s="10" t="s">
        <x:v>59</x:v>
      </x:c>
      <x:c r="U4" s="10" t="s">
        <x:v>60</x:v>
      </x:c>
    </x:row>
    <x:row r="5" ht="61.5" customHeight="1">
      <x:c r="A5" s="11" t="s">
        <x:v>61</x:v>
      </x:c>
      <x:c r="B5" s="11" t="s">
        <x:v>14</x:v>
      </x:c>
      <x:c r="C5" s="11" t="s">
        <x:v>62</x:v>
      </x:c>
      <x:c r="D5" s="11" t="s">
        <x:v>63</x:v>
      </x:c>
      <x:c r="E5" s="17">
        <x:v>46302.0</x:v>
      </x:c>
      <x:c r="F5" s="17">
        <x:v>46303.0</x:v>
      </x:c>
      <x:c r="G5" s="19" t="n">
        <x:f t="shared" ref="G5:G28" si="3">F5-E5+1</x:f>
        <x:v>2</x:v>
      </x:c>
      <x:c r="H5" s="11" t="s">
        <x:v>64</x:v>
      </x:c>
      <x:c r="I5" s="11" t="s">
        <x:v>65</x:v>
      </x:c>
      <x:c r="J5" s="11" t="s">
        <x:v>66</x:v>
      </x:c>
      <x:c r="K5" s="22" t="str">
        <x:f t="shared" ref="K5:R5" si="2">IF(AND(K$4&lt;=$F5,K$4+6&gt;=$E5),"■","")</x:f>
        <x:v>■</x:v>
      </x:c>
      <x:c r="L5" s="22" t="str">
        <x:f t="shared" si="2">IF(AND(L$4&lt;=$F5,L$4+6&gt;=$E5),"■","")</x:f>
      </x:c>
      <x:c r="M5" s="22" t="str">
        <x:f t="shared" si="2">IF(AND(M$4&lt;=$F5,M$4+6&gt;=$E5),"■","")</x:f>
      </x:c>
      <x:c r="N5" s="22" t="str">
        <x:f t="shared" si="2">IF(AND(N$4&lt;=$F5,N$4+6&gt;=$E5),"■","")</x:f>
      </x:c>
      <x:c r="O5" s="22" t="str">
        <x:f t="shared" si="2">IF(AND(O$4&lt;=$F5,O$4+6&gt;=$E5),"■","")</x:f>
      </x:c>
      <x:c r="P5" s="22" t="str">
        <x:f t="shared" si="2">IF(AND(P$4&lt;=$F5,P$4+6&gt;=$E5),"■","")</x:f>
      </x:c>
      <x:c r="Q5" s="22" t="str">
        <x:f t="shared" si="2">IF(AND(Q$4&lt;=$F5,Q$4+6&gt;=$E5),"■","")</x:f>
      </x:c>
      <x:c r="R5" s="22" t="str">
        <x:f t="shared" si="2">IF(AND(R$4&lt;=$F5,R$4+6&gt;=$E5),"■","")</x:f>
      </x:c>
      <x:c r="S5" s="23">
        <x:v>46308.0</x:v>
      </x:c>
      <x:c r="T5" s="24" t="s">
        <x:v>67</x:v>
      </x:c>
      <x:c r="U5" s="24" t="str">
        <x:v>Incluye inicialización del repositorio (36c1687). Fechas de actividad redistribuidas desde el 07/10.</x:v>
      </x:c>
    </x:row>
    <x:row r="6" ht="61.5" customHeight="1">
      <x:c r="A6" s="13" t="s">
        <x:v>68</x:v>
      </x:c>
      <x:c r="B6" s="13" t="s">
        <x:v>14</x:v>
      </x:c>
      <x:c r="C6" s="13" t="s">
        <x:v>69</x:v>
      </x:c>
      <x:c r="D6" s="11" t="s">
        <x:v>63</x:v>
      </x:c>
      <x:c r="E6" s="25">
        <x:v>46303.0</x:v>
      </x:c>
      <x:c r="F6" s="25">
        <x:v>46303.0</x:v>
      </x:c>
      <x:c r="G6" s="26" t="n">
        <x:f t="shared" si="3">F6-E6+1</x:f>
        <x:v>1</x:v>
      </x:c>
      <x:c r="H6" s="13" t="s">
        <x:v>61</x:v>
      </x:c>
      <x:c r="I6" s="13" t="s">
        <x:v>70</x:v>
      </x:c>
      <x:c r="J6" s="13" t="s">
        <x:v>66</x:v>
      </x:c>
      <x:c r="K6" s="22" t="str">
        <x:f t="shared" ref="K6:R6" si="4">IF(AND(K$4&lt;=$F6,K$4+6&gt;=$E6),"■","")</x:f>
        <x:v>■</x:v>
      </x:c>
      <x:c r="L6" s="22" t="str">
        <x:f t="shared" si="4">IF(AND(L$4&lt;=$F6,L$4+6&gt;=$E6),"■","")</x:f>
      </x:c>
      <x:c r="M6" s="22" t="str">
        <x:f t="shared" si="4">IF(AND(M$4&lt;=$F6,M$4+6&gt;=$E6),"■","")</x:f>
      </x:c>
      <x:c r="N6" s="22" t="str">
        <x:f t="shared" si="4">IF(AND(N$4&lt;=$F6,N$4+6&gt;=$E6),"■","")</x:f>
      </x:c>
      <x:c r="O6" s="22" t="str">
        <x:f t="shared" si="4">IF(AND(O$4&lt;=$F6,O$4+6&gt;=$E6),"■","")</x:f>
      </x:c>
      <x:c r="P6" s="22" t="str">
        <x:f t="shared" si="4">IF(AND(P$4&lt;=$F6,P$4+6&gt;=$E6),"■","")</x:f>
      </x:c>
      <x:c r="Q6" s="22" t="str">
        <x:f t="shared" si="4">IF(AND(Q$4&lt;=$F6,Q$4+6&gt;=$E6),"■","")</x:f>
      </x:c>
      <x:c r="R6" s="22" t="str">
        <x:f t="shared" si="4">IF(AND(R$4&lt;=$F6,R$4+6&gt;=$E6),"■","")</x:f>
      </x:c>
      <x:c r="S6" s="23">
        <x:v>46308.0</x:v>
      </x:c>
      <x:c r="T6" s="24" t="s">
        <x:v>71</x:v>
      </x:c>
      <x:c r="U6" s="24" t="str">
        <x:v>Contrato de ejecución implementado. La calificación oficial se completa en EVAL-01.</x:v>
      </x:c>
    </x:row>
    <x:row r="7" ht="61.5" customHeight="1">
      <x:c r="A7" s="11" t="s">
        <x:v>72</x:v>
      </x:c>
      <x:c r="B7" s="11" t="s">
        <x:v>14</x:v>
      </x:c>
      <x:c r="C7" s="11" t="s">
        <x:v>73</x:v>
      </x:c>
      <x:c r="D7" s="11" t="s">
        <x:v>63</x:v>
      </x:c>
      <x:c r="E7" s="17">
        <x:v>46303.0</x:v>
      </x:c>
      <x:c r="F7" s="17">
        <x:v>46304.0</x:v>
      </x:c>
      <x:c r="G7" s="19" t="n">
        <x:f t="shared" si="3">F7-E7+1</x:f>
        <x:v>2</x:v>
      </x:c>
      <x:c r="H7" s="11" t="s">
        <x:v>61</x:v>
      </x:c>
      <x:c r="I7" s="27" t="s">
        <x:v>74</x:v>
      </x:c>
      <x:c r="J7" s="11" t="s">
        <x:v>66</x:v>
      </x:c>
      <x:c r="K7" s="22" t="str">
        <x:f t="shared" ref="K7:R7" si="5">IF(AND(K$4&lt;=$F7,K$4+6&gt;=$E7),"■","")</x:f>
        <x:v>■</x:v>
      </x:c>
      <x:c r="L7" s="22" t="str">
        <x:f t="shared" si="5">IF(AND(L$4&lt;=$F7,L$4+6&gt;=$E7),"■","")</x:f>
      </x:c>
      <x:c r="M7" s="22" t="str">
        <x:f t="shared" si="5">IF(AND(M$4&lt;=$F7,M$4+6&gt;=$E7),"■","")</x:f>
      </x:c>
      <x:c r="N7" s="22" t="str">
        <x:f t="shared" si="5">IF(AND(N$4&lt;=$F7,N$4+6&gt;=$E7),"■","")</x:f>
      </x:c>
      <x:c r="O7" s="22" t="str">
        <x:f t="shared" si="5">IF(AND(O$4&lt;=$F7,O$4+6&gt;=$E7),"■","")</x:f>
      </x:c>
      <x:c r="P7" s="22" t="str">
        <x:f t="shared" si="5">IF(AND(P$4&lt;=$F7,P$4+6&gt;=$E7),"■","")</x:f>
      </x:c>
      <x:c r="Q7" s="22" t="str">
        <x:f t="shared" si="5">IF(AND(Q$4&lt;=$F7,Q$4+6&gt;=$E7),"■","")</x:f>
      </x:c>
      <x:c r="R7" s="22" t="str">
        <x:f t="shared" si="5">IF(AND(R$4&lt;=$F7,R$4+6&gt;=$E7),"■","")</x:f>
      </x:c>
      <x:c r="S7" s="23">
        <x:v>46308.0</x:v>
      </x:c>
      <x:c r="T7" s="24" t="s">
        <x:v>71</x:v>
      </x:c>
      <x:c r="U7" s="24" t="str">
        <x:v>Reglas incluidas en exercises.json.</x:v>
      </x:c>
    </x:row>
    <x:row r="8" ht="61.5" customHeight="1">
      <x:c r="A8" s="13" t="s">
        <x:v>75</x:v>
      </x:c>
      <x:c r="B8" s="13" t="s">
        <x:v>14</x:v>
      </x:c>
      <x:c r="C8" s="13" t="s">
        <x:v>76</x:v>
      </x:c>
      <x:c r="D8" s="11" t="s">
        <x:v>77</x:v>
      </x:c>
      <x:c r="E8" s="25">
        <x:v>46304.0</x:v>
      </x:c>
      <x:c r="F8" s="25">
        <x:v>46305.0</x:v>
      </x:c>
      <x:c r="G8" s="26" t="n">
        <x:f t="shared" si="3">F8-E8+1</x:f>
        <x:v>2</x:v>
      </x:c>
      <x:c r="H8" s="13" t="s">
        <x:v>72</x:v>
      </x:c>
      <x:c r="I8" s="13" t="s">
        <x:v>78</x:v>
      </x:c>
      <x:c r="J8" s="13" t="s">
        <x:v>66</x:v>
      </x:c>
      <x:c r="K8" s="22" t="str">
        <x:f t="shared" ref="K8:R8" si="6">IF(AND(K$4&lt;=$F8,K$4+6&gt;=$E8),"■","")</x:f>
        <x:v>■</x:v>
      </x:c>
      <x:c r="L8" s="22" t="str">
        <x:f t="shared" si="6">IF(AND(L$4&lt;=$F8,L$4+6&gt;=$E8),"■","")</x:f>
      </x:c>
      <x:c r="M8" s="22" t="str">
        <x:f t="shared" si="6">IF(AND(M$4&lt;=$F8,M$4+6&gt;=$E8),"■","")</x:f>
      </x:c>
      <x:c r="N8" s="22" t="str">
        <x:f t="shared" si="6">IF(AND(N$4&lt;=$F8,N$4+6&gt;=$E8),"■","")</x:f>
      </x:c>
      <x:c r="O8" s="22" t="str">
        <x:f t="shared" si="6">IF(AND(O$4&lt;=$F8,O$4+6&gt;=$E8),"■","")</x:f>
      </x:c>
      <x:c r="P8" s="22" t="str">
        <x:f t="shared" si="6">IF(AND(P$4&lt;=$F8,P$4+6&gt;=$E8),"■","")</x:f>
      </x:c>
      <x:c r="Q8" s="22" t="str">
        <x:f t="shared" si="6">IF(AND(Q$4&lt;=$F8,Q$4+6&gt;=$E8),"■","")</x:f>
      </x:c>
      <x:c r="R8" s="22" t="str">
        <x:f t="shared" si="6">IF(AND(R$4&lt;=$F8,R$4+6&gt;=$E8),"■","")</x:f>
      </x:c>
      <x:c r="S8" s="23">
        <x:v>46308.0</x:v>
      </x:c>
      <x:c r="T8" s="24" t="s">
        <x:v>71</x:v>
      </x:c>
      <x:c r="U8" s="24" t="str">
        <x:v>Material de práctica con defectos intencionales. No representa soluciones aprobadas.</x:v>
      </x:c>
    </x:row>
    <x:row r="9" ht="61.5" customHeight="1">
      <x:c r="A9" s="11" t="s">
        <x:v>79</x:v>
      </x:c>
      <x:c r="B9" s="11" t="s">
        <x:v>14</x:v>
      </x:c>
      <x:c r="C9" s="11" t="s">
        <x:v>80</x:v>
      </x:c>
      <x:c r="D9" s="11" t="s">
        <x:v>77</x:v>
      </x:c>
      <x:c r="E9" s="17">
        <x:v>46305.0</x:v>
      </x:c>
      <x:c r="F9" s="17">
        <x:v>46307.0</x:v>
      </x:c>
      <x:c r="G9" s="19" t="n">
        <x:f t="shared" si="3">F9-E9+1</x:f>
        <x:v>3</x:v>
      </x:c>
      <x:c r="H9" s="11" t="s">
        <x:v>75</x:v>
      </x:c>
      <x:c r="I9" s="11" t="s">
        <x:v>81</x:v>
      </x:c>
      <x:c r="J9" s="11" t="s">
        <x:v>66</x:v>
      </x:c>
      <x:c r="K9" s="22" t="str">
        <x:f t="shared" ref="K9:R9" si="7">IF(AND(K$4&lt;=$F9,K$4+6&gt;=$E9),"■","")</x:f>
        <x:v>■</x:v>
      </x:c>
      <x:c r="L9" s="22" t="str">
        <x:f t="shared" si="7">IF(AND(L$4&lt;=$F9,L$4+6&gt;=$E9),"■","")</x:f>
      </x:c>
      <x:c r="M9" s="22" t="str">
        <x:f t="shared" si="7">IF(AND(M$4&lt;=$F9,M$4+6&gt;=$E9),"■","")</x:f>
      </x:c>
      <x:c r="N9" s="22" t="str">
        <x:f t="shared" si="7">IF(AND(N$4&lt;=$F9,N$4+6&gt;=$E9),"■","")</x:f>
      </x:c>
      <x:c r="O9" s="22" t="str">
        <x:f t="shared" si="7">IF(AND(O$4&lt;=$F9,O$4+6&gt;=$E9),"■","")</x:f>
      </x:c>
      <x:c r="P9" s="22" t="str">
        <x:f t="shared" si="7">IF(AND(P$4&lt;=$F9,P$4+6&gt;=$E9),"■","")</x:f>
      </x:c>
      <x:c r="Q9" s="22" t="str">
        <x:f t="shared" si="7">IF(AND(Q$4&lt;=$F9,Q$4+6&gt;=$E9),"■","")</x:f>
      </x:c>
      <x:c r="R9" s="22" t="str">
        <x:f t="shared" si="7">IF(AND(R$4&lt;=$F9,R$4+6&gt;=$E9),"■","")</x:f>
      </x:c>
      <x:c r="S9" s="23">
        <x:v>46308.0</x:v>
      </x:c>
      <x:c r="T9" s="24" t="s">
        <x:v>71</x:v>
      </x:c>
      <x:c r="U9" s="24" t="str">
        <x:v>Implementación del prototipo. Validación de ejecución pendiente en QA-INT.</x:v>
      </x:c>
    </x:row>
    <x:row r="10" ht="61.5" customHeight="1">
      <x:c r="A10" s="13" t="s">
        <x:v>82</x:v>
      </x:c>
      <x:c r="B10" s="13" t="s">
        <x:v>14</x:v>
      </x:c>
      <x:c r="C10" s="13" t="s">
        <x:v>83</x:v>
      </x:c>
      <x:c r="D10" s="11" t="s">
        <x:v>63</x:v>
      </x:c>
      <x:c r="E10" s="25">
        <x:v>46305.0</x:v>
      </x:c>
      <x:c r="F10" s="25">
        <x:v>46307.0</x:v>
      </x:c>
      <x:c r="G10" s="26" t="n">
        <x:f t="shared" si="3">F10-E10+1</x:f>
        <x:v>3</x:v>
      </x:c>
      <x:c r="H10" s="13" t="s">
        <x:v>79</x:v>
      </x:c>
      <x:c r="I10" s="13" t="s">
        <x:v>84</x:v>
      </x:c>
      <x:c r="J10" s="13" t="s">
        <x:v>66</x:v>
      </x:c>
      <x:c r="K10" s="22" t="str">
        <x:f t="shared" ref="K10:R10" si="8">IF(AND(K$4&lt;=$F10,K$4+6&gt;=$E10),"■","")</x:f>
        <x:v>■</x:v>
      </x:c>
      <x:c r="L10" s="22" t="str">
        <x:f t="shared" si="8">IF(AND(L$4&lt;=$F10,L$4+6&gt;=$E10),"■","")</x:f>
      </x:c>
      <x:c r="M10" s="22" t="str">
        <x:f t="shared" si="8">IF(AND(M$4&lt;=$F10,M$4+6&gt;=$E10),"■","")</x:f>
      </x:c>
      <x:c r="N10" s="22" t="str">
        <x:f t="shared" si="8">IF(AND(N$4&lt;=$F10,N$4+6&gt;=$E10),"■","")</x:f>
      </x:c>
      <x:c r="O10" s="22" t="str">
        <x:f t="shared" si="8">IF(AND(O$4&lt;=$F10,O$4+6&gt;=$E10),"■","")</x:f>
      </x:c>
      <x:c r="P10" s="22" t="str">
        <x:f t="shared" si="8">IF(AND(P$4&lt;=$F10,P$4+6&gt;=$E10),"■","")</x:f>
      </x:c>
      <x:c r="Q10" s="22" t="str">
        <x:f t="shared" si="8">IF(AND(Q$4&lt;=$F10,Q$4+6&gt;=$E10),"■","")</x:f>
      </x:c>
      <x:c r="R10" s="22" t="str">
        <x:f t="shared" si="8">IF(AND(R$4&lt;=$F10,R$4+6&gt;=$E10),"■","")</x:f>
      </x:c>
      <x:c r="S10" s="23">
        <x:v>46308.0</x:v>
      </x:c>
      <x:c r="T10" s="24" t="s">
        <x:v>71</x:v>
      </x:c>
      <x:c r="U10" s="24" t="str">
        <x:v>Persistencia local del navegador. No incluye intentos en PostgreSQL.</x:v>
      </x:c>
    </x:row>
    <x:row r="11" ht="61.5" customHeight="1">
      <x:c r="A11" s="11" t="s">
        <x:v>85</x:v>
      </x:c>
      <x:c r="B11" s="11" t="s">
        <x:v>14</x:v>
      </x:c>
      <x:c r="C11" s="11" t="s">
        <x:v>86</x:v>
      </x:c>
      <x:c r="D11" s="11" t="s">
        <x:v>63</x:v>
      </x:c>
      <x:c r="E11" s="17">
        <x:v>46306.0</x:v>
      </x:c>
      <x:c r="F11" s="17">
        <x:v>46308.0</x:v>
      </x:c>
      <x:c r="G11" s="19" t="n">
        <x:f t="shared" si="3">F11-E11+1</x:f>
        <x:v>3</x:v>
      </x:c>
      <x:c r="H11" s="11" t="s">
        <x:v>87</x:v>
      </x:c>
      <x:c r="I11" s="11" t="s">
        <x:v>88</x:v>
      </x:c>
      <x:c r="J11" s="11" t="s">
        <x:v>66</x:v>
      </x:c>
      <x:c r="K11" s="22" t="str">
        <x:f t="shared" ref="K11:R11" si="9">IF(AND(K$4&lt;=$F11,K$4+6&gt;=$E11),"■","")</x:f>
        <x:v>■</x:v>
      </x:c>
      <x:c r="L11" s="22" t="str">
        <x:f t="shared" si="9">IF(AND(L$4&lt;=$F11,L$4+6&gt;=$E11),"■","")</x:f>
      </x:c>
      <x:c r="M11" s="22" t="str">
        <x:f t="shared" si="9">IF(AND(M$4&lt;=$F11,M$4+6&gt;=$E11),"■","")</x:f>
      </x:c>
      <x:c r="N11" s="22" t="str">
        <x:f t="shared" si="9">IF(AND(N$4&lt;=$F11,N$4+6&gt;=$E11),"■","")</x:f>
      </x:c>
      <x:c r="O11" s="22" t="str">
        <x:f t="shared" si="9">IF(AND(O$4&lt;=$F11,O$4+6&gt;=$E11),"■","")</x:f>
      </x:c>
      <x:c r="P11" s="22" t="str">
        <x:f t="shared" si="9">IF(AND(P$4&lt;=$F11,P$4+6&gt;=$E11),"■","")</x:f>
      </x:c>
      <x:c r="Q11" s="22" t="str">
        <x:f t="shared" si="9">IF(AND(Q$4&lt;=$F11,Q$4+6&gt;=$E11),"■","")</x:f>
      </x:c>
      <x:c r="R11" s="22" t="str">
        <x:f t="shared" si="9">IF(AND(R$4&lt;=$F11,R$4+6&gt;=$E11),"■","")</x:f>
      </x:c>
      <x:c r="S11" s="23">
        <x:v>46308.0</x:v>
      </x:c>
      <x:c r="T11" s="24" t="s">
        <x:v>71</x:v>
      </x:c>
      <x:c r="U11" s="24" t="str">
        <x:v>Código del supervisor y Dockerfile. Funcionamiento con runsc pendiente de comprobar.</x:v>
      </x:c>
    </x:row>
    <x:row r="12" ht="61.5" customHeight="1">
      <x:c r="A12" s="13" t="s">
        <x:v>89</x:v>
      </x:c>
      <x:c r="B12" s="13" t="s">
        <x:v>14</x:v>
      </x:c>
      <x:c r="C12" s="13" t="s">
        <x:v>90</x:v>
      </x:c>
      <x:c r="D12" s="11" t="s">
        <x:v>63</x:v>
      </x:c>
      <x:c r="E12" s="25">
        <x:v>46308.0</x:v>
      </x:c>
      <x:c r="F12" s="25">
        <x:v>46308.0</x:v>
      </x:c>
      <x:c r="G12" s="26" t="n">
        <x:f t="shared" si="3">F12-E12+1</x:f>
        <x:v>1</x:v>
      </x:c>
      <x:c r="H12" s="13" t="s">
        <x:v>91</x:v>
      </x:c>
      <x:c r="I12" s="13" t="s">
        <x:v>92</x:v>
      </x:c>
      <x:c r="J12" s="13" t="s">
        <x:v>66</x:v>
      </x:c>
      <x:c r="K12" s="22" t="str">
        <x:f t="shared" ref="K12:R12" si="10">IF(AND(K$4&lt;=$F12,K$4+6&gt;=$E12),"■","")</x:f>
        <x:v>■</x:v>
      </x:c>
      <x:c r="L12" s="22" t="str">
        <x:f t="shared" si="10">IF(AND(L$4&lt;=$F12,L$4+6&gt;=$E12),"■","")</x:f>
      </x:c>
      <x:c r="M12" s="22" t="str">
        <x:f t="shared" si="10">IF(AND(M$4&lt;=$F12,M$4+6&gt;=$E12),"■","")</x:f>
      </x:c>
      <x:c r="N12" s="22" t="str">
        <x:f t="shared" si="10">IF(AND(N$4&lt;=$F12,N$4+6&gt;=$E12),"■","")</x:f>
      </x:c>
      <x:c r="O12" s="22" t="str">
        <x:f t="shared" si="10">IF(AND(O$4&lt;=$F12,O$4+6&gt;=$E12),"■","")</x:f>
      </x:c>
      <x:c r="P12" s="22" t="str">
        <x:f t="shared" si="10">IF(AND(P$4&lt;=$F12,P$4+6&gt;=$E12),"■","")</x:f>
      </x:c>
      <x:c r="Q12" s="22" t="str">
        <x:f t="shared" si="10">IF(AND(Q$4&lt;=$F12,Q$4+6&gt;=$E12),"■","")</x:f>
      </x:c>
      <x:c r="R12" s="22" t="str">
        <x:f t="shared" si="10">IF(AND(R$4&lt;=$F12,R$4+6&gt;=$E12),"■","")</x:f>
      </x:c>
      <x:c r="S12" s="23">
        <x:v>46308.0</x:v>
      </x:c>
      <x:c r="T12" s="24" t="s">
        <x:v>71</x:v>
      </x:c>
      <x:c r="U12" s="24" t="str">
        <x:v>Puente solo de desarrollo. API autenticada, cola y cuotas de producción pendientes.</x:v>
      </x:c>
    </x:row>
    <x:row r="13" ht="61.5" customHeight="1">
      <x:c r="A13" s="11" t="s">
        <x:v>93</x:v>
      </x:c>
      <x:c r="B13" s="11" t="s">
        <x:v>14</x:v>
      </x:c>
      <x:c r="C13" s="11" t="s">
        <x:v>94</x:v>
      </x:c>
      <x:c r="D13" s="11" t="s">
        <x:v>63</x:v>
      </x:c>
      <x:c r="E13" s="17">
        <x:v>46308.0</x:v>
      </x:c>
      <x:c r="F13" s="17">
        <x:v>46308.0</x:v>
      </x:c>
      <x:c r="G13" s="19" t="n">
        <x:f t="shared" si="3">F13-E13+1</x:f>
        <x:v>1</x:v>
      </x:c>
      <x:c r="H13" s="11" t="s">
        <x:v>85</x:v>
      </x:c>
      <x:c r="I13" s="11" t="s">
        <x:v>95</x:v>
      </x:c>
      <x:c r="J13" s="11" t="s">
        <x:v>66</x:v>
      </x:c>
      <x:c r="K13" s="22" t="str">
        <x:f t="shared" ref="K13:R13" si="11">IF(AND(K$4&lt;=$F13,K$4+6&gt;=$E13),"■","")</x:f>
        <x:v>■</x:v>
      </x:c>
      <x:c r="L13" s="22" t="str">
        <x:f t="shared" si="11">IF(AND(L$4&lt;=$F13,L$4+6&gt;=$E13),"■","")</x:f>
      </x:c>
      <x:c r="M13" s="22" t="str">
        <x:f t="shared" si="11">IF(AND(M$4&lt;=$F13,M$4+6&gt;=$E13),"■","")</x:f>
      </x:c>
      <x:c r="N13" s="22" t="str">
        <x:f t="shared" si="11">IF(AND(N$4&lt;=$F13,N$4+6&gt;=$E13),"■","")</x:f>
      </x:c>
      <x:c r="O13" s="22" t="str">
        <x:f t="shared" si="11">IF(AND(O$4&lt;=$F13,O$4+6&gt;=$E13),"■","")</x:f>
      </x:c>
      <x:c r="P13" s="22" t="str">
        <x:f t="shared" si="11">IF(AND(P$4&lt;=$F13,P$4+6&gt;=$E13),"■","")</x:f>
      </x:c>
      <x:c r="Q13" s="22" t="str">
        <x:f t="shared" si="11">IF(AND(Q$4&lt;=$F13,Q$4+6&gt;=$E13),"■","")</x:f>
      </x:c>
      <x:c r="R13" s="22" t="str">
        <x:f t="shared" si="11">IF(AND(R$4&lt;=$F13,R$4+6&gt;=$E13),"■","")</x:f>
      </x:c>
      <x:c r="S13" s="23">
        <x:v>46308.0</x:v>
      </x:c>
      <x:c r="T13" s="24" t="s">
        <x:v>71</x:v>
      </x:c>
      <x:c r="U13" s="24" t="str">
        <x:v>Pruebas versionadas en runner/test_runner.py. No se acredita ejecución satisfactoria.</x:v>
      </x:c>
    </x:row>
    <x:row r="14" ht="61.5" customHeight="1">
      <x:c r="A14" s="13" t="s">
        <x:v>96</x:v>
      </x:c>
      <x:c r="B14" s="13" t="s">
        <x:v>14</x:v>
      </x:c>
      <x:c r="C14" s="13" t="s">
        <x:v>97</x:v>
      </x:c>
      <x:c r="D14" s="11" t="s">
        <x:v>98</x:v>
      </x:c>
      <x:c r="E14" s="25">
        <x:v>46308.0</x:v>
      </x:c>
      <x:c r="F14" s="25">
        <x:v>46308.0</x:v>
      </x:c>
      <x:c r="G14" s="26" t="n">
        <x:f t="shared" si="3">F14-E14+1</x:f>
        <x:v>1</x:v>
      </x:c>
      <x:c r="H14" s="13" t="s">
        <x:v>75</x:v>
      </x:c>
      <x:c r="I14" s="13" t="s">
        <x:v>99</x:v>
      </x:c>
      <x:c r="J14" s="13" t="s">
        <x:v>66</x:v>
      </x:c>
      <x:c r="K14" s="22" t="str">
        <x:f t="shared" ref="K14:R14" si="12">IF(AND(K$4&lt;=$F14,K$4+6&gt;=$E14),"■","")</x:f>
        <x:v>■</x:v>
      </x:c>
      <x:c r="L14" s="22" t="str">
        <x:f t="shared" si="12">IF(AND(L$4&lt;=$F14,L$4+6&gt;=$E14),"■","")</x:f>
      </x:c>
      <x:c r="M14" s="22" t="str">
        <x:f t="shared" si="12">IF(AND(M$4&lt;=$F14,M$4+6&gt;=$E14),"■","")</x:f>
      </x:c>
      <x:c r="N14" s="22" t="str">
        <x:f t="shared" si="12">IF(AND(N$4&lt;=$F14,N$4+6&gt;=$E14),"■","")</x:f>
      </x:c>
      <x:c r="O14" s="22" t="str">
        <x:f t="shared" si="12">IF(AND(O$4&lt;=$F14,O$4+6&gt;=$E14),"■","")</x:f>
      </x:c>
      <x:c r="P14" s="22" t="str">
        <x:f t="shared" si="12">IF(AND(P$4&lt;=$F14,P$4+6&gt;=$E14),"■","")</x:f>
      </x:c>
      <x:c r="Q14" s="22" t="str">
        <x:f t="shared" si="12">IF(AND(Q$4&lt;=$F14,Q$4+6&gt;=$E14),"■","")</x:f>
      </x:c>
      <x:c r="R14" s="22" t="str">
        <x:f t="shared" si="12">IF(AND(R$4&lt;=$F14,R$4+6&gt;=$E14),"■","")</x:f>
      </x:c>
      <x:c r="S14" s="23">
        <x:v>46308.0</x:v>
      </x:c>
      <x:c r="T14" s="24" t="s">
        <x:v>71</x:v>
      </x:c>
      <x:c r="U14" s="24" t="str">
        <x:v>Se registra la creación de las pruebas. Ejecución y resultados pendientes en QA-INT.</x:v>
      </x:c>
    </x:row>
    <x:row r="15" ht="61.5" customHeight="1">
      <x:c r="A15" s="11" t="s">
        <x:v>100</x:v>
      </x:c>
      <x:c r="B15" s="11" t="s">
        <x:v>14</x:v>
      </x:c>
      <x:c r="C15" s="11" t="s">
        <x:v>101</x:v>
      </x:c>
      <x:c r="D15" s="11" t="s">
        <x:v>63</x:v>
      </x:c>
      <x:c r="E15" s="17">
        <x:v>46308.0</x:v>
      </x:c>
      <x:c r="F15" s="17">
        <x:v>46308.0</x:v>
      </x:c>
      <x:c r="G15" s="19" t="n">
        <x:f t="shared" si="3">F15-E15+1</x:f>
        <x:v>1</x:v>
      </x:c>
      <x:c r="H15" s="11" t="s">
        <x:v>102</x:v>
      </x:c>
      <x:c r="I15" s="11" t="s">
        <x:v>103</x:v>
      </x:c>
      <x:c r="J15" s="11" t="s">
        <x:v>66</x:v>
      </x:c>
      <x:c r="K15" s="22" t="str">
        <x:f t="shared" ref="K15:R15" si="13">IF(AND(K$4&lt;=$F15,K$4+6&gt;=$E15),"■","")</x:f>
        <x:v>■</x:v>
      </x:c>
      <x:c r="L15" s="22" t="str">
        <x:f t="shared" si="13">IF(AND(L$4&lt;=$F15,L$4+6&gt;=$E15),"■","")</x:f>
      </x:c>
      <x:c r="M15" s="22" t="str">
        <x:f t="shared" si="13">IF(AND(M$4&lt;=$F15,M$4+6&gt;=$E15),"■","")</x:f>
      </x:c>
      <x:c r="N15" s="22" t="str">
        <x:f t="shared" si="13">IF(AND(N$4&lt;=$F15,N$4+6&gt;=$E15),"■","")</x:f>
      </x:c>
      <x:c r="O15" s="22" t="str">
        <x:f t="shared" si="13">IF(AND(O$4&lt;=$F15,O$4+6&gt;=$E15),"■","")</x:f>
      </x:c>
      <x:c r="P15" s="22" t="str">
        <x:f t="shared" si="13">IF(AND(P$4&lt;=$F15,P$4+6&gt;=$E15),"■","")</x:f>
      </x:c>
      <x:c r="Q15" s="22" t="str">
        <x:f t="shared" si="13">IF(AND(Q$4&lt;=$F15,Q$4+6&gt;=$E15),"■","")</x:f>
      </x:c>
      <x:c r="R15" s="22" t="str">
        <x:f t="shared" si="13">IF(AND(R$4&lt;=$F15,R$4+6&gt;=$E15),"■","")</x:f>
      </x:c>
      <x:c r="S15" s="23">
        <x:v>46308.0</x:v>
      </x:c>
      <x:c r="T15" s="24" t="s">
        <x:v>71</x:v>
      </x:c>
      <x:c r="U15" s="24" t="str">
        <x:v>No incluye puntuación, pruebas ocultas ni penalización por pistas.</x:v>
      </x:c>
    </x:row>
    <x:row r="16" ht="61.5" customHeight="1">
      <x:c r="A16" s="13" t="s">
        <x:v>104</x:v>
      </x:c>
      <x:c r="B16" s="13" t="s">
        <x:v>14</x:v>
      </x:c>
      <x:c r="C16" s="13" t="s">
        <x:v>105</x:v>
      </x:c>
      <x:c r="D16" s="11" t="s">
        <x:v>63</x:v>
      </x:c>
      <x:c r="E16" s="25">
        <x:v>46308.0</x:v>
      </x:c>
      <x:c r="F16" s="25">
        <x:v>46309.0</x:v>
      </x:c>
      <x:c r="G16" s="26" t="n">
        <x:f t="shared" si="3">F16-E16+1</x:f>
        <x:v>2</x:v>
      </x:c>
      <x:c r="H16" s="13" t="s">
        <x:v>75</x:v>
      </x:c>
      <x:c r="I16" s="13" t="s">
        <x:v>106</x:v>
      </x:c>
      <x:c r="J16" s="13" t="s">
        <x:v>66</x:v>
      </x:c>
      <x:c r="K16" s="22" t="str">
        <x:f t="shared" ref="K16:R16" si="14">IF(AND(K$4&lt;=$F16,K$4+6&gt;=$E16),"■","")</x:f>
        <x:v>■</x:v>
      </x:c>
      <x:c r="L16" s="22" t="str">
        <x:f t="shared" si="14">IF(AND(L$4&lt;=$F16,L$4+6&gt;=$E16),"■","")</x:f>
        <x:v>■</x:v>
      </x:c>
      <x:c r="M16" s="22" t="str">
        <x:f t="shared" si="14">IF(AND(M$4&lt;=$F16,M$4+6&gt;=$E16),"■","")</x:f>
      </x:c>
      <x:c r="N16" s="22" t="str">
        <x:f t="shared" si="14">IF(AND(N$4&lt;=$F16,N$4+6&gt;=$E16),"■","")</x:f>
      </x:c>
      <x:c r="O16" s="22" t="str">
        <x:f t="shared" si="14">IF(AND(O$4&lt;=$F16,O$4+6&gt;=$E16),"■","")</x:f>
      </x:c>
      <x:c r="P16" s="22" t="str">
        <x:f t="shared" si="14">IF(AND(P$4&lt;=$F16,P$4+6&gt;=$E16),"■","")</x:f>
      </x:c>
      <x:c r="Q16" s="22" t="str">
        <x:f t="shared" si="14">IF(AND(Q$4&lt;=$F16,Q$4+6&gt;=$E16),"■","")</x:f>
      </x:c>
      <x:c r="R16" s="22" t="str">
        <x:f t="shared" si="14">IF(AND(R$4&lt;=$F16,R$4+6&gt;=$E16),"■","")</x:f>
      </x:c>
      <x:c r="S16" s="23">
        <x:v>46310.0</x:v>
      </x:c>
      <x:c r="T16" s="24" t="s">
        <x:v>107</x:v>
      </x:c>
      <x:c r="U16" s="24" t="str">
        <x:v>Pruebas públicas de práctica. No certifican la técnica empleada por el estudiante.</x:v>
      </x:c>
    </x:row>
    <x:row r="17" ht="61.5" customHeight="1">
      <x:c r="A17" s="11" t="s">
        <x:v>108</x:v>
      </x:c>
      <x:c r="B17" s="11" t="s">
        <x:v>14</x:v>
      </x:c>
      <x:c r="C17" s="11" t="s">
        <x:v>109</x:v>
      </x:c>
      <x:c r="D17" s="11" t="s">
        <x:v>63</x:v>
      </x:c>
      <x:c r="E17" s="17">
        <x:v>46309.0</x:v>
      </x:c>
      <x:c r="F17" s="17">
        <x:v>46309.0</x:v>
      </x:c>
      <x:c r="G17" s="19" t="n">
        <x:f t="shared" si="3">F17-E17+1</x:f>
        <x:v>1</x:v>
      </x:c>
      <x:c r="H17" s="11" t="s">
        <x:v>110</x:v>
      </x:c>
      <x:c r="I17" s="11" t="s">
        <x:v>111</x:v>
      </x:c>
      <x:c r="J17" s="11" t="s">
        <x:v>66</x:v>
      </x:c>
      <x:c r="K17" s="22" t="str">
        <x:f t="shared" ref="K17:R17" si="15">IF(AND(K$4&lt;=$F17,K$4+6&gt;=$E17),"■","")</x:f>
      </x:c>
      <x:c r="L17" s="22" t="str">
        <x:f t="shared" si="15">IF(AND(L$4&lt;=$F17,L$4+6&gt;=$E17),"■","")</x:f>
        <x:v>■</x:v>
      </x:c>
      <x:c r="M17" s="22" t="str">
        <x:f t="shared" si="15">IF(AND(M$4&lt;=$F17,M$4+6&gt;=$E17),"■","")</x:f>
      </x:c>
      <x:c r="N17" s="22" t="str">
        <x:f t="shared" si="15">IF(AND(N$4&lt;=$F17,N$4+6&gt;=$E17),"■","")</x:f>
      </x:c>
      <x:c r="O17" s="22" t="str">
        <x:f t="shared" si="15">IF(AND(O$4&lt;=$F17,O$4+6&gt;=$E17),"■","")</x:f>
      </x:c>
      <x:c r="P17" s="22" t="str">
        <x:f t="shared" si="15">IF(AND(P$4&lt;=$F17,P$4+6&gt;=$E17),"■","")</x:f>
      </x:c>
      <x:c r="Q17" s="22" t="str">
        <x:f t="shared" si="15">IF(AND(Q$4&lt;=$F17,Q$4+6&gt;=$E17),"■","")</x:f>
      </x:c>
      <x:c r="R17" s="22" t="str">
        <x:f t="shared" si="15">IF(AND(R$4&lt;=$F17,R$4+6&gt;=$E17),"■","")</x:f>
      </x:c>
      <x:c r="S17" s="23">
        <x:v>46310.0</x:v>
      </x:c>
      <x:c r="T17" s="24" t="s">
        <x:v>107</x:v>
      </x:c>
      <x:c r="U17" s="24" t="str">
        <x:v>Consulta de pistas registrada localmente. Descuento de puntos pendiente.</x:v>
      </x:c>
    </x:row>
    <x:row r="18" ht="61.5" customHeight="1">
      <x:c r="A18" s="13" t="s">
        <x:v>112</x:v>
      </x:c>
      <x:c r="B18" s="13" t="s">
        <x:v>14</x:v>
      </x:c>
      <x:c r="C18" s="13" t="s">
        <x:v>113</x:v>
      </x:c>
      <x:c r="D18" s="11" t="s">
        <x:v>63</x:v>
      </x:c>
      <x:c r="E18" s="25">
        <x:v>46309.0</x:v>
      </x:c>
      <x:c r="F18" s="25">
        <x:v>46309.0</x:v>
      </x:c>
      <x:c r="G18" s="26" t="n">
        <x:f t="shared" si="3">F18-E18+1</x:f>
        <x:v>1</x:v>
      </x:c>
      <x:c r="H18" s="13" t="s">
        <x:v>114</x:v>
      </x:c>
      <x:c r="I18" s="13" t="s">
        <x:v>115</x:v>
      </x:c>
      <x:c r="J18" s="13" t="s">
        <x:v>66</x:v>
      </x:c>
      <x:c r="K18" s="22" t="str">
        <x:f t="shared" ref="K18:R18" si="16">IF(AND(K$4&lt;=$F18,K$4+6&gt;=$E18),"■","")</x:f>
      </x:c>
      <x:c r="L18" s="22" t="str">
        <x:f t="shared" si="16">IF(AND(L$4&lt;=$F18,L$4+6&gt;=$E18),"■","")</x:f>
        <x:v>■</x:v>
      </x:c>
      <x:c r="M18" s="22" t="str">
        <x:f t="shared" si="16">IF(AND(M$4&lt;=$F18,M$4+6&gt;=$E18),"■","")</x:f>
      </x:c>
      <x:c r="N18" s="22" t="str">
        <x:f t="shared" si="16">IF(AND(N$4&lt;=$F18,N$4+6&gt;=$E18),"■","")</x:f>
      </x:c>
      <x:c r="O18" s="22" t="str">
        <x:f t="shared" si="16">IF(AND(O$4&lt;=$F18,O$4+6&gt;=$E18),"■","")</x:f>
      </x:c>
      <x:c r="P18" s="22" t="str">
        <x:f t="shared" si="16">IF(AND(P$4&lt;=$F18,P$4+6&gt;=$E18),"■","")</x:f>
      </x:c>
      <x:c r="Q18" s="22" t="str">
        <x:f t="shared" si="16">IF(AND(Q$4&lt;=$F18,Q$4+6&gt;=$E18),"■","")</x:f>
      </x:c>
      <x:c r="R18" s="22" t="str">
        <x:f t="shared" si="16">IF(AND(R$4&lt;=$F18,R$4+6&gt;=$E18),"■","")</x:f>
      </x:c>
      <x:c r="S18" s="23">
        <x:v>46310.0</x:v>
      </x:c>
      <x:c r="T18" s="24" t="s">
        <x:v>107</x:v>
      </x:c>
      <x:c r="U18" s="24" t="str">
        <x:v>Rutas por modalidad e identificador del ejercicio.</x:v>
      </x:c>
    </x:row>
    <x:row r="19" ht="61.5" customHeight="1">
      <x:c r="A19" s="11" t="s">
        <x:v>116</x:v>
      </x:c>
      <x:c r="B19" s="11" t="s">
        <x:v>14</x:v>
      </x:c>
      <x:c r="C19" s="11" t="s">
        <x:v>117</x:v>
      </x:c>
      <x:c r="D19" s="11" t="s">
        <x:v>63</x:v>
      </x:c>
      <x:c r="E19" s="17">
        <x:v>46309.0</x:v>
      </x:c>
      <x:c r="F19" s="17">
        <x:v>46310.0</x:v>
      </x:c>
      <x:c r="G19" s="19" t="n">
        <x:f t="shared" si="3">F19-E19+1</x:f>
        <x:v>2</x:v>
      </x:c>
      <x:c r="H19" s="11" t="s">
        <x:v>112</x:v>
      </x:c>
      <x:c r="I19" s="11" t="s">
        <x:v>118</x:v>
      </x:c>
      <x:c r="J19" s="11" t="s">
        <x:v>66</x:v>
      </x:c>
      <x:c r="K19" s="22" t="str">
        <x:f t="shared" ref="K19:R19" si="17">IF(AND(K$4&lt;=$F19,K$4+6&gt;=$E19),"■","")</x:f>
      </x:c>
      <x:c r="L19" s="22" t="str">
        <x:f t="shared" si="17">IF(AND(L$4&lt;=$F19,L$4+6&gt;=$E19),"■","")</x:f>
        <x:v>■</x:v>
      </x:c>
      <x:c r="M19" s="22" t="str">
        <x:f t="shared" si="17">IF(AND(M$4&lt;=$F19,M$4+6&gt;=$E19),"■","")</x:f>
      </x:c>
      <x:c r="N19" s="22" t="str">
        <x:f t="shared" si="17">IF(AND(N$4&lt;=$F19,N$4+6&gt;=$E19),"■","")</x:f>
      </x:c>
      <x:c r="O19" s="22" t="str">
        <x:f t="shared" si="17">IF(AND(O$4&lt;=$F19,O$4+6&gt;=$E19),"■","")</x:f>
      </x:c>
      <x:c r="P19" s="22" t="str">
        <x:f t="shared" si="17">IF(AND(P$4&lt;=$F19,P$4+6&gt;=$E19),"■","")</x:f>
      </x:c>
      <x:c r="Q19" s="22" t="str">
        <x:f t="shared" si="17">IF(AND(Q$4&lt;=$F19,Q$4+6&gt;=$E19),"■","")</x:f>
      </x:c>
      <x:c r="R19" s="22" t="str">
        <x:f t="shared" si="17">IF(AND(R$4&lt;=$F19,R$4+6&gt;=$E19),"■","")</x:f>
      </x:c>
      <x:c r="S19" s="23">
        <x:v>46310.0</x:v>
      </x:c>
      <x:c r="T19" s="24" t="s">
        <x:v>119</x:v>
      </x:c>
      <x:c r="U19" s="24" t="str">
        <x:v>Briefing contextual y descripción de roles de archivos.</x:v>
      </x:c>
    </x:row>
    <x:row r="20" ht="61.5" customHeight="1">
      <x:c r="A20" s="13" t="s">
        <x:v>120</x:v>
      </x:c>
      <x:c r="B20" s="13" t="s">
        <x:v>14</x:v>
      </x:c>
      <x:c r="C20" s="13" t="s">
        <x:v>121</x:v>
      </x:c>
      <x:c r="D20" s="11" t="s">
        <x:v>63</x:v>
      </x:c>
      <x:c r="E20" s="25">
        <x:v>46309.0</x:v>
      </x:c>
      <x:c r="F20" s="25">
        <x:v>46310.0</x:v>
      </x:c>
      <x:c r="G20" s="26" t="n">
        <x:f t="shared" si="3">F20-E20+1</x:f>
        <x:v>2</x:v>
      </x:c>
      <x:c r="H20" s="13" t="s">
        <x:v>112</x:v>
      </x:c>
      <x:c r="I20" s="13" t="s">
        <x:v>122</x:v>
      </x:c>
      <x:c r="J20" s="13" t="s">
        <x:v>66</x:v>
      </x:c>
      <x:c r="K20" s="22" t="str">
        <x:f t="shared" ref="K20:R20" si="18">IF(AND(K$4&lt;=$F20,K$4+6&gt;=$E20),"■","")</x:f>
      </x:c>
      <x:c r="L20" s="22" t="str">
        <x:f t="shared" si="18">IF(AND(L$4&lt;=$F20,L$4+6&gt;=$E20),"■","")</x:f>
        <x:v>■</x:v>
      </x:c>
      <x:c r="M20" s="22" t="str">
        <x:f t="shared" si="18">IF(AND(M$4&lt;=$F20,M$4+6&gt;=$E20),"■","")</x:f>
      </x:c>
      <x:c r="N20" s="22" t="str">
        <x:f t="shared" si="18">IF(AND(N$4&lt;=$F20,N$4+6&gt;=$E20),"■","")</x:f>
      </x:c>
      <x:c r="O20" s="22" t="str">
        <x:f t="shared" si="18">IF(AND(O$4&lt;=$F20,O$4+6&gt;=$E20),"■","")</x:f>
      </x:c>
      <x:c r="P20" s="22" t="str">
        <x:f t="shared" si="18">IF(AND(P$4&lt;=$F20,P$4+6&gt;=$E20),"■","")</x:f>
      </x:c>
      <x:c r="Q20" s="22" t="str">
        <x:f t="shared" si="18">IF(AND(Q$4&lt;=$F20,Q$4+6&gt;=$E20),"■","")</x:f>
      </x:c>
      <x:c r="R20" s="22" t="str">
        <x:f t="shared" si="18">IF(AND(R$4&lt;=$F20,R$4+6&gt;=$E20),"■","")</x:f>
      </x:c>
      <x:c r="S20" s="23">
        <x:v>46310.0</x:v>
      </x:c>
      <x:c r="T20" s="24" t="s">
        <x:v>119</x:v>
      </x:c>
      <x:c r="U20" s="24" t="str">
        <x:v>Componentes de interfaz. No implica un servicio de notificaciones implementado.</x:v>
      </x:c>
    </x:row>
    <x:row r="21" ht="61.5" customHeight="1">
      <x:c r="A21" s="11" t="s">
        <x:v>123</x:v>
      </x:c>
      <x:c r="B21" s="11" t="s">
        <x:v>14</x:v>
      </x:c>
      <x:c r="C21" s="11" t="s">
        <x:v>124</x:v>
      </x:c>
      <x:c r="D21" s="11" t="s">
        <x:v>63</x:v>
      </x:c>
      <x:c r="E21" s="17">
        <x:v>46310.0</x:v>
      </x:c>
      <x:c r="F21" s="17">
        <x:v>46310.0</x:v>
      </x:c>
      <x:c r="G21" s="19" t="n">
        <x:f t="shared" si="3">F21-E21+1</x:f>
        <x:v>1</x:v>
      </x:c>
      <x:c r="H21" s="11" t="s">
        <x:v>125</x:v>
      </x:c>
      <x:c r="I21" s="11" t="s">
        <x:v>126</x:v>
      </x:c>
      <x:c r="J21" s="11" t="s">
        <x:v>66</x:v>
      </x:c>
      <x:c r="K21" s="22" t="str">
        <x:f t="shared" ref="K21:R21" si="19">IF(AND(K$4&lt;=$F21,K$4+6&gt;=$E21),"■","")</x:f>
      </x:c>
      <x:c r="L21" s="22" t="str">
        <x:f t="shared" si="19">IF(AND(L$4&lt;=$F21,L$4+6&gt;=$E21),"■","")</x:f>
        <x:v>■</x:v>
      </x:c>
      <x:c r="M21" s="22" t="str">
        <x:f t="shared" si="19">IF(AND(M$4&lt;=$F21,M$4+6&gt;=$E21),"■","")</x:f>
      </x:c>
      <x:c r="N21" s="22" t="str">
        <x:f t="shared" si="19">IF(AND(N$4&lt;=$F21,N$4+6&gt;=$E21),"■","")</x:f>
      </x:c>
      <x:c r="O21" s="22" t="str">
        <x:f t="shared" si="19">IF(AND(O$4&lt;=$F21,O$4+6&gt;=$E21),"■","")</x:f>
      </x:c>
      <x:c r="P21" s="22" t="str">
        <x:f t="shared" si="19">IF(AND(P$4&lt;=$F21,P$4+6&gt;=$E21),"■","")</x:f>
      </x:c>
      <x:c r="Q21" s="22" t="str">
        <x:f t="shared" si="19">IF(AND(Q$4&lt;=$F21,Q$4+6&gt;=$E21),"■","")</x:f>
      </x:c>
      <x:c r="R21" s="22" t="str">
        <x:f t="shared" si="19">IF(AND(R$4&lt;=$F21,R$4+6&gt;=$E21),"■","")</x:f>
      </x:c>
      <x:c r="S21" s="23">
        <x:v>46310.0</x:v>
      </x:c>
      <x:c r="T21" s="24" t="s">
        <x:v>119</x:v>
      </x:c>
      <x:c r="U21" s="24" t="str">
        <x:v>Ajustes visuales en catálogos y editores.</x:v>
      </x:c>
    </x:row>
    <x:row r="22" ht="61.5" customHeight="1">
      <x:c r="A22" s="13" t="s">
        <x:v>127</x:v>
      </x:c>
      <x:c r="B22" s="13" t="s">
        <x:v>14</x:v>
      </x:c>
      <x:c r="C22" s="13" t="s">
        <x:v>128</x:v>
      </x:c>
      <x:c r="D22" s="27" t="s">
        <x:v>129</x:v>
      </x:c>
      <x:c r="E22" s="25">
        <x:v>46309.0</x:v>
      </x:c>
      <x:c r="F22" s="25">
        <x:v>46310.0</x:v>
      </x:c>
      <x:c r="G22" s="26" t="n">
        <x:f t="shared" si="3">F22-E22+1</x:f>
        <x:v>2</x:v>
      </x:c>
      <x:c r="H22" s="13" t="s">
        <x:v>61</x:v>
      </x:c>
      <x:c r="I22" s="13" t="s">
        <x:v>130</x:v>
      </x:c>
      <x:c r="J22" s="13" t="s">
        <x:v>66</x:v>
      </x:c>
      <x:c r="K22" s="22" t="str">
        <x:f t="shared" ref="K22:R22" si="20">IF(AND(K$4&lt;=$F22,K$4+6&gt;=$E22),"■","")</x:f>
      </x:c>
      <x:c r="L22" s="22" t="str">
        <x:f t="shared" si="20">IF(AND(L$4&lt;=$F22,L$4+6&gt;=$E22),"■","")</x:f>
        <x:v>■</x:v>
      </x:c>
      <x:c r="M22" s="22" t="str">
        <x:f t="shared" si="20">IF(AND(M$4&lt;=$F22,M$4+6&gt;=$E22),"■","")</x:f>
      </x:c>
      <x:c r="N22" s="22" t="str">
        <x:f t="shared" si="20">IF(AND(N$4&lt;=$F22,N$4+6&gt;=$E22),"■","")</x:f>
      </x:c>
      <x:c r="O22" s="22" t="str">
        <x:f t="shared" si="20">IF(AND(O$4&lt;=$F22,O$4+6&gt;=$E22),"■","")</x:f>
      </x:c>
      <x:c r="P22" s="22" t="str">
        <x:f t="shared" si="20">IF(AND(P$4&lt;=$F22,P$4+6&gt;=$E22),"■","")</x:f>
      </x:c>
      <x:c r="Q22" s="22" t="str">
        <x:f t="shared" si="20">IF(AND(Q$4&lt;=$F22,Q$4+6&gt;=$E22),"■","")</x:f>
      </x:c>
      <x:c r="R22" s="22" t="str">
        <x:f t="shared" si="20">IF(AND(R$4&lt;=$F22,R$4+6&gt;=$E22),"■","")</x:f>
      </x:c>
      <x:c r="S22" s="23">
        <x:v>46310.0</x:v>
      </x:c>
      <x:c r="T22" s="24" t="s">
        <x:v>119</x:v>
      </x:c>
      <x:c r="U22" s="24" t="str">
        <x:v>Acceso a datos ampliado con las migraciones de DB-01. Conexión y persistencia verificadas; despliegue de producción pendiente.</x:v>
      </x:c>
    </x:row>
    <x:row r="23" ht="61.5" customHeight="1">
      <x:c r="A23" s="11" t="s">
        <x:v>131</x:v>
      </x:c>
      <x:c r="B23" s="11" t="s">
        <x:v>14</x:v>
      </x:c>
      <x:c r="C23" s="11" t="s">
        <x:v>132</x:v>
      </x:c>
      <x:c r="D23" s="27" t="s">
        <x:v>77</x:v>
      </x:c>
      <x:c r="E23" s="17">
        <x:v>46310.0</x:v>
      </x:c>
      <x:c r="F23" s="17">
        <x:v>46311.0</x:v>
      </x:c>
      <x:c r="G23" s="19" t="n">
        <x:f t="shared" si="3">F23-E23+1</x:f>
        <x:v>2</x:v>
      </x:c>
      <x:c r="H23" s="11" t="s">
        <x:v>127</x:v>
      </x:c>
      <x:c r="I23" s="11" t="s">
        <x:v>133</x:v>
      </x:c>
      <x:c r="J23" s="11" t="s">
        <x:v>66</x:v>
      </x:c>
      <x:c r="K23" s="22" t="str">
        <x:f t="shared" ref="K23:R23" si="21">IF(AND(K$4&lt;=$F23,K$4+6&gt;=$E23),"■","")</x:f>
      </x:c>
      <x:c r="L23" s="22" t="str">
        <x:f t="shared" si="21">IF(AND(L$4&lt;=$F23,L$4+6&gt;=$E23),"■","")</x:f>
        <x:v>■</x:v>
      </x:c>
      <x:c r="M23" s="22" t="str">
        <x:f t="shared" si="21">IF(AND(M$4&lt;=$F23,M$4+6&gt;=$E23),"■","")</x:f>
      </x:c>
      <x:c r="N23" s="22" t="str">
        <x:f t="shared" si="21">IF(AND(N$4&lt;=$F23,N$4+6&gt;=$E23),"■","")</x:f>
      </x:c>
      <x:c r="O23" s="22" t="str">
        <x:f t="shared" si="21">IF(AND(O$4&lt;=$F23,O$4+6&gt;=$E23),"■","")</x:f>
      </x:c>
      <x:c r="P23" s="22" t="str">
        <x:f t="shared" si="21">IF(AND(P$4&lt;=$F23,P$4+6&gt;=$E23),"■","")</x:f>
      </x:c>
      <x:c r="Q23" s="22" t="str">
        <x:f t="shared" si="21">IF(AND(Q$4&lt;=$F23,Q$4+6&gt;=$E23),"■","")</x:f>
      </x:c>
      <x:c r="R23" s="22" t="str">
        <x:f t="shared" si="21">IF(AND(R$4&lt;=$F23,R$4+6&gt;=$E23),"■","")</x:f>
      </x:c>
      <x:c r="S23" s="23">
        <x:v>46311.0</x:v>
      </x:c>
      <x:c r="T23" s="24" t="s">
        <x:v>134</x:v>
      </x:c>
      <x:c r="U23" s="24" t="str">
        <x:v>Registro validado con base temporal en las pruebas HTTP de QA-APP (17–18/10).</x:v>
      </x:c>
    </x:row>
    <x:row r="24" ht="61.5" customHeight="1">
      <x:c r="A24" s="13" t="s">
        <x:v>135</x:v>
      </x:c>
      <x:c r="B24" s="13" t="s">
        <x:v>14</x:v>
      </x:c>
      <x:c r="C24" s="13" t="s">
        <x:v>136</x:v>
      </x:c>
      <x:c r="D24" s="27" t="s">
        <x:v>77</x:v>
      </x:c>
      <x:c r="E24" s="25">
        <x:v>46310.0</x:v>
      </x:c>
      <x:c r="F24" s="25">
        <x:v>46311.0</x:v>
      </x:c>
      <x:c r="G24" s="26" t="n">
        <x:f t="shared" si="3">F24-E24+1</x:f>
        <x:v>2</x:v>
      </x:c>
      <x:c r="H24" s="13" t="s">
        <x:v>127</x:v>
      </x:c>
      <x:c r="I24" s="13" t="s">
        <x:v>137</x:v>
      </x:c>
      <x:c r="J24" s="13" t="s">
        <x:v>66</x:v>
      </x:c>
      <x:c r="K24" s="22" t="str">
        <x:f t="shared" ref="K24:R24" si="22">IF(AND(K$4&lt;=$F24,K$4+6&gt;=$E24),"■","")</x:f>
      </x:c>
      <x:c r="L24" s="22" t="str">
        <x:f t="shared" si="22">IF(AND(L$4&lt;=$F24,L$4+6&gt;=$E24),"■","")</x:f>
        <x:v>■</x:v>
      </x:c>
      <x:c r="M24" s="22" t="str">
        <x:f t="shared" si="22">IF(AND(M$4&lt;=$F24,M$4+6&gt;=$E24),"■","")</x:f>
      </x:c>
      <x:c r="N24" s="22" t="str">
        <x:f t="shared" si="22">IF(AND(N$4&lt;=$F24,N$4+6&gt;=$E24),"■","")</x:f>
      </x:c>
      <x:c r="O24" s="22" t="str">
        <x:f t="shared" si="22">IF(AND(O$4&lt;=$F24,O$4+6&gt;=$E24),"■","")</x:f>
      </x:c>
      <x:c r="P24" s="22" t="str">
        <x:f t="shared" si="22">IF(AND(P$4&lt;=$F24,P$4+6&gt;=$E24),"■","")</x:f>
      </x:c>
      <x:c r="Q24" s="22" t="str">
        <x:f t="shared" si="22">IF(AND(Q$4&lt;=$F24,Q$4+6&gt;=$E24),"■","")</x:f>
      </x:c>
      <x:c r="R24" s="22" t="str">
        <x:f t="shared" si="22">IF(AND(R$4&lt;=$F24,R$4+6&gt;=$E24),"■","")</x:f>
      </x:c>
      <x:c r="S24" s="23">
        <x:v>46311.0</x:v>
      </x:c>
      <x:c r="T24" s="24" t="s">
        <x:v>134</x:v>
      </x:c>
      <x:c r="U24" s="24" t="str">
        <x:v>Sesión inicial reforzada y verificada en AUTH-03 (17–18/10).</x:v>
      </x:c>
    </x:row>
    <x:row r="25" ht="61.5" customHeight="1">
      <x:c r="A25" s="11" t="s">
        <x:v>138</x:v>
      </x:c>
      <x:c r="B25" s="11" t="s">
        <x:v>14</x:v>
      </x:c>
      <x:c r="C25" s="11" t="s">
        <x:v>139</x:v>
      </x:c>
      <x:c r="D25" s="27" t="s">
        <x:v>77</x:v>
      </x:c>
      <x:c r="E25" s="17">
        <x:v>46311.0</x:v>
      </x:c>
      <x:c r="F25" s="17">
        <x:v>46311.0</x:v>
      </x:c>
      <x:c r="G25" s="19" t="n">
        <x:f t="shared" si="3">F25-E25+1</x:f>
        <x:v>1</x:v>
      </x:c>
      <x:c r="H25" s="11" t="s">
        <x:v>140</x:v>
      </x:c>
      <x:c r="I25" s="11" t="s">
        <x:v>141</x:v>
      </x:c>
      <x:c r="J25" s="11" t="s">
        <x:v>66</x:v>
      </x:c>
      <x:c r="K25" s="22" t="str">
        <x:f t="shared" ref="K25:R25" si="23">IF(AND(K$4&lt;=$F25,K$4+6&gt;=$E25),"■","")</x:f>
      </x:c>
      <x:c r="L25" s="22" t="str">
        <x:f t="shared" si="23">IF(AND(L$4&lt;=$F25,L$4+6&gt;=$E25),"■","")</x:f>
        <x:v>■</x:v>
      </x:c>
      <x:c r="M25" s="22" t="str">
        <x:f t="shared" si="23">IF(AND(M$4&lt;=$F25,M$4+6&gt;=$E25),"■","")</x:f>
      </x:c>
      <x:c r="N25" s="22" t="str">
        <x:f t="shared" si="23">IF(AND(N$4&lt;=$F25,N$4+6&gt;=$E25),"■","")</x:f>
      </x:c>
      <x:c r="O25" s="22" t="str">
        <x:f t="shared" si="23">IF(AND(O$4&lt;=$F25,O$4+6&gt;=$E25),"■","")</x:f>
      </x:c>
      <x:c r="P25" s="22" t="str">
        <x:f t="shared" si="23">IF(AND(P$4&lt;=$F25,P$4+6&gt;=$E25),"■","")</x:f>
      </x:c>
      <x:c r="Q25" s="22" t="str">
        <x:f t="shared" si="23">IF(AND(Q$4&lt;=$F25,Q$4+6&gt;=$E25),"■","")</x:f>
      </x:c>
      <x:c r="R25" s="22" t="str">
        <x:f t="shared" si="23">IF(AND(R$4&lt;=$F25,R$4+6&gt;=$E25),"■","")</x:f>
      </x:c>
      <x:c r="S25" s="23">
        <x:v>46311.0</x:v>
      </x:c>
      <x:c r="T25" s="24" t="s">
        <x:v>134</x:v>
      </x:c>
      <x:c r="U25" s="24" t="str">
        <x:v>Versión inicial basada en actividad local. Ampliada a datos persistidos, historial SQL y métricas en PERF-02, PERF-03 y PROG-02 (18/10).</x:v>
      </x:c>
    </x:row>
    <x:row r="26" ht="61.5" customHeight="1">
      <x:c r="A26" s="13" t="s">
        <x:v>142</x:v>
      </x:c>
      <x:c r="B26" s="13" t="s">
        <x:v>14</x:v>
      </x:c>
      <x:c r="C26" s="13" t="s">
        <x:v>143</x:v>
      </x:c>
      <x:c r="D26" s="11" t="s">
        <x:v>63</x:v>
      </x:c>
      <x:c r="E26" s="25">
        <x:v>46310.0</x:v>
      </x:c>
      <x:c r="F26" s="25">
        <x:v>46310.0</x:v>
      </x:c>
      <x:c r="G26" s="26" t="n">
        <x:f t="shared" si="3">F26-E26+1</x:f>
        <x:v>1</x:v>
      </x:c>
      <x:c r="H26" s="13" t="s">
        <x:v>108</x:v>
      </x:c>
      <x:c r="I26" s="13" t="s">
        <x:v>144</x:v>
      </x:c>
      <x:c r="J26" s="13" t="s">
        <x:v>66</x:v>
      </x:c>
      <x:c r="K26" s="22" t="str">
        <x:f t="shared" ref="K26:R26" si="24">IF(AND(K$4&lt;=$F26,K$4+6&gt;=$E26),"■","")</x:f>
      </x:c>
      <x:c r="L26" s="22" t="str">
        <x:f t="shared" si="24">IF(AND(L$4&lt;=$F26,L$4+6&gt;=$E26),"■","")</x:f>
        <x:v>■</x:v>
      </x:c>
      <x:c r="M26" s="22" t="str">
        <x:f t="shared" si="24">IF(AND(M$4&lt;=$F26,M$4+6&gt;=$E26),"■","")</x:f>
      </x:c>
      <x:c r="N26" s="22" t="str">
        <x:f t="shared" si="24">IF(AND(N$4&lt;=$F26,N$4+6&gt;=$E26),"■","")</x:f>
      </x:c>
      <x:c r="O26" s="22" t="str">
        <x:f t="shared" si="24">IF(AND(O$4&lt;=$F26,O$4+6&gt;=$E26),"■","")</x:f>
      </x:c>
      <x:c r="P26" s="22" t="str">
        <x:f t="shared" si="24">IF(AND(P$4&lt;=$F26,P$4+6&gt;=$E26),"■","")</x:f>
      </x:c>
      <x:c r="Q26" s="22" t="str">
        <x:f t="shared" si="24">IF(AND(Q$4&lt;=$F26,Q$4+6&gt;=$E26),"■","")</x:f>
      </x:c>
      <x:c r="R26" s="22" t="str">
        <x:f t="shared" si="24">IF(AND(R$4&lt;=$F26,R$4+6&gt;=$E26),"■","")</x:f>
      </x:c>
      <x:c r="S26" s="23">
        <x:v>46310.0</x:v>
      </x:c>
      <x:c r="T26" s="24" t="s">
        <x:v>145</x:v>
      </x:c>
      <x:c r="U26" s="24" t="str">
        <x:v>Ejemplo didáctico fijo. Trazas de la ejecución Python del estudiante pendientes.</x:v>
      </x:c>
    </x:row>
    <x:row r="27" ht="61.5" customHeight="1">
      <x:c r="A27" s="11" t="s">
        <x:v>146</x:v>
      </x:c>
      <x:c r="B27" s="11" t="s">
        <x:v>14</x:v>
      </x:c>
      <x:c r="C27" s="11" t="s">
        <x:v>147</x:v>
      </x:c>
      <x:c r="D27" s="11" t="s">
        <x:v>63</x:v>
      </x:c>
      <x:c r="E27" s="17">
        <x:v>46311.0</x:v>
      </x:c>
      <x:c r="F27" s="17">
        <x:v>46311.0</x:v>
      </x:c>
      <x:c r="G27" s="19" t="n">
        <x:f t="shared" si="3">F27-E27+1</x:f>
        <x:v>1</x:v>
      </x:c>
      <x:c r="H27" s="11" t="s">
        <x:v>112</x:v>
      </x:c>
      <x:c r="I27" s="11" t="s">
        <x:v>148</x:v>
      </x:c>
      <x:c r="J27" s="11" t="s">
        <x:v>66</x:v>
      </x:c>
      <x:c r="K27" s="22" t="str">
        <x:f t="shared" ref="K27:R27" si="25">IF(AND(K$4&lt;=$F27,K$4+6&gt;=$E27),"■","")</x:f>
      </x:c>
      <x:c r="L27" s="22" t="str">
        <x:f t="shared" si="25">IF(AND(L$4&lt;=$F27,L$4+6&gt;=$E27),"■","")</x:f>
        <x:v>■</x:v>
      </x:c>
      <x:c r="M27" s="22" t="str">
        <x:f t="shared" si="25">IF(AND(M$4&lt;=$F27,M$4+6&gt;=$E27),"■","")</x:f>
      </x:c>
      <x:c r="N27" s="22" t="str">
        <x:f t="shared" si="25">IF(AND(N$4&lt;=$F27,N$4+6&gt;=$E27),"■","")</x:f>
      </x:c>
      <x:c r="O27" s="22" t="str">
        <x:f t="shared" si="25">IF(AND(O$4&lt;=$F27,O$4+6&gt;=$E27),"■","")</x:f>
      </x:c>
      <x:c r="P27" s="22" t="str">
        <x:f t="shared" si="25">IF(AND(P$4&lt;=$F27,P$4+6&gt;=$E27),"■","")</x:f>
      </x:c>
      <x:c r="Q27" s="22" t="str">
        <x:f t="shared" si="25">IF(AND(Q$4&lt;=$F27,Q$4+6&gt;=$E27),"■","")</x:f>
      </x:c>
      <x:c r="R27" s="22" t="str">
        <x:f t="shared" si="25">IF(AND(R$4&lt;=$F27,R$4+6&gt;=$E27),"■","")</x:f>
      </x:c>
      <x:c r="S27" s="23">
        <x:v>46311.0</x:v>
      </x:c>
      <x:c r="T27" s="24" t="s">
        <x:v>149</x:v>
      </x:c>
      <x:c r="U27" s="24" t="str">
        <x:v>Correcciones de textos incorporadas el 16/10. La nueva portada se registra en HOME-01 y HOME-02.</x:v>
      </x:c>
    </x:row>
    <x:row r="28" ht="61.5" customHeight="1">
      <x:c r="A28" s="13" t="s">
        <x:v>150</x:v>
      </x:c>
      <x:c r="B28" s="13" t="s">
        <x:v>14</x:v>
      </x:c>
      <x:c r="C28" s="13" t="s">
        <x:v>151</x:v>
      </x:c>
      <x:c r="D28" s="11" t="s">
        <x:v>63</x:v>
      </x:c>
      <x:c r="E28" s="25">
        <x:v>46308.0</x:v>
      </x:c>
      <x:c r="F28" s="25">
        <x:v>46310.0</x:v>
      </x:c>
      <x:c r="G28" s="26" t="n">
        <x:f t="shared" si="3">F28-E28+1</x:f>
        <x:v>3</x:v>
      </x:c>
      <x:c r="H28" s="13" t="s">
        <x:v>89</x:v>
      </x:c>
      <x:c r="I28" s="13" t="s">
        <x:v>152</x:v>
      </x:c>
      <x:c r="J28" s="13" t="s">
        <x:v>66</x:v>
      </x:c>
      <x:c r="K28" s="22" t="str">
        <x:f t="shared" ref="K28:R28" si="26">IF(AND(K$4&lt;=$F28,K$4+6&gt;=$E28),"■","")</x:f>
        <x:v>■</x:v>
      </x:c>
      <x:c r="L28" s="22" t="str">
        <x:f t="shared" si="26">IF(AND(L$4&lt;=$F28,L$4+6&gt;=$E28),"■","")</x:f>
        <x:v>■</x:v>
      </x:c>
      <x:c r="M28" s="22" t="str">
        <x:f t="shared" si="26">IF(AND(M$4&lt;=$F28,M$4+6&gt;=$E28),"■","")</x:f>
      </x:c>
      <x:c r="N28" s="22" t="str">
        <x:f t="shared" si="26">IF(AND(N$4&lt;=$F28,N$4+6&gt;=$E28),"■","")</x:f>
      </x:c>
      <x:c r="O28" s="22" t="str">
        <x:f t="shared" si="26">IF(AND(O$4&lt;=$F28,O$4+6&gt;=$E28),"■","")</x:f>
      </x:c>
      <x:c r="P28" s="22" t="str">
        <x:f t="shared" si="26">IF(AND(P$4&lt;=$F28,P$4+6&gt;=$E28),"■","")</x:f>
      </x:c>
      <x:c r="Q28" s="22" t="str">
        <x:f t="shared" si="26">IF(AND(Q$4&lt;=$F28,Q$4+6&gt;=$E28),"■","")</x:f>
      </x:c>
      <x:c r="R28" s="22" t="str">
        <x:f t="shared" si="26">IF(AND(R$4&lt;=$F28,R$4+6&gt;=$E28),"■","")</x:f>
      </x:c>
      <x:c r="S28" s="23">
        <x:v>46310.0</x:v>
      </x:c>
      <x:c r="T28" s="24" t="s">
        <x:v>107</x:v>
      </x:c>
      <x:c r="U28" s="24" t="str">
        <x:v>Documentación del desarrollo incluida en el repositorio.</x:v>
      </x:c>
    </x:row>
    <x:row r="29" ht="76" customHeight="1">
      <x:c r="A29" s="11" t="str">
        <x:v>AUTH-03</x:v>
      </x:c>
      <x:c r="B29" s="11" t="str">
        <x:v>Sprint 1</x:v>
      </x:c>
      <x:c r="C29" s="11" t="str">
        <x:v>Reforzar y verificar el manejo de sesiones</x:v>
      </x:c>
      <x:c r="D29" s="11" t="str">
        <x:v>Nicolas Camacho</x:v>
      </x:c>
      <x:c r="E29" s="30" t="n">
        <x:v>46312</x:v>
      </x:c>
      <x:c r="F29" s="30" t="n">
        <x:v>46313</x:v>
      </x:c>
      <x:c r="G29" s="19" t="n">
        <x:f>F29-E29+1</x:f>
        <x:v>2</x:v>
      </x:c>
      <x:c r="H29" s="11" t="str">
        <x:v>AUTH-02</x:v>
      </x:c>
      <x:c r="I29" s="11" t="str">
        <x:v>Sesiones opacas en PostgreSQL, cookies HttpOnly y SameSite, revocación, vencimiento y protección de acceso y origen</x:v>
      </x:c>
      <x:c r="J29" s="11" t="str">
        <x:v>Hecho</x:v>
      </x:c>
      <x:c r="K29" s="22" t="str">
        <x:f>IF(AND(K$4&lt;=$F29,K$4+6&gt;=$E29),"■","")</x:f>
      </x:c>
      <x:c r="L29" s="22" t="str">
        <x:f>IF(AND(L$4&lt;=$F29,L$4+6&gt;=$E29),"■","")</x:f>
        <x:v>■</x:v>
      </x:c>
      <x:c r="M29" s="22" t="str">
        <x:f>IF(AND(M$4&lt;=$F29,M$4+6&gt;=$E29),"■","")</x:f>
      </x:c>
      <x:c r="N29" s="22" t="str">
        <x:f>IF(AND(N$4&lt;=$F29,N$4+6&gt;=$E29),"■","")</x:f>
      </x:c>
      <x:c r="O29" s="22" t="str">
        <x:f>IF(AND(O$4&lt;=$F29,O$4+6&gt;=$E29),"■","")</x:f>
      </x:c>
      <x:c r="P29" s="22" t="str">
        <x:f>IF(AND(P$4&lt;=$F29,P$4+6&gt;=$E29),"■","")</x:f>
      </x:c>
      <x:c r="Q29" s="22" t="str">
        <x:f>IF(AND(Q$4&lt;=$F29,Q$4+6&gt;=$E29),"■","")</x:f>
      </x:c>
      <x:c r="R29" s="22" t="str">
        <x:f>IF(AND(R$4&lt;=$F29,R$4+6&gt;=$E29),"■","")</x:f>
      </x:c>
      <x:c r="S29" s="32" t="n">
        <x:v>46313</x:v>
      </x:c>
      <x:c r="T29" s="24" t="str">
        <x:v>https://github.com/NicolasSsC/PyLevel/commit/9fa0e3364caf6738155d004be4102d80c06eb284</x:v>
      </x:c>
      <x:c r="U29" s="24" t="str">
        <x:v>Sesiones validadas en servidor. Pruebas de acceso, expiración, revocación y CSRF incorporadas y ejecutadas.</x:v>
      </x:c>
    </x:row>
    <x:row r="30" ht="76" customHeight="1">
      <x:c r="A30" s="13" t="str">
        <x:v>DB-01</x:v>
      </x:c>
      <x:c r="B30" s="13" t="str">
        <x:v>Sprint 1</x:v>
      </x:c>
      <x:c r="C30" s="13" t="str">
        <x:v>Persistir intentos, actividad y progreso en PostgreSQL</x:v>
      </x:c>
      <x:c r="D30" s="11" t="str">
        <x:v>Juan Carvajal / Camilo Jaimes</x:v>
      </x:c>
      <x:c r="E30" s="31" t="n">
        <x:v>46312</x:v>
      </x:c>
      <x:c r="F30" s="31" t="n">
        <x:v>46313</x:v>
      </x:c>
      <x:c r="G30" s="26" t="n">
        <x:f>F30-E30+1</x:f>
        <x:v>2</x:v>
      </x:c>
      <x:c r="H30" s="13" t="str">
        <x:v>DB-02, AUTH-03, ALG-03</x:v>
      </x:c>
      <x:c r="I30" s="13" t="str">
        <x:v>Migraciones SQL para sesiones, intentos de examen, respuestas, incidencias, perfil y actividad de práctica vinculada al usuario</x:v>
      </x:c>
      <x:c r="J30" s="13" t="str">
        <x:v>Hecho</x:v>
      </x:c>
      <x:c r="K30" s="22" t="str">
        <x:f>IF(AND(K$4&lt;=$F30,K$4+6&gt;=$E30),"■","")</x:f>
      </x:c>
      <x:c r="L30" s="22" t="str">
        <x:f>IF(AND(L$4&lt;=$F30,L$4+6&gt;=$E30),"■","")</x:f>
        <x:v>■</x:v>
      </x:c>
      <x:c r="M30" s="22" t="str">
        <x:f>IF(AND(M$4&lt;=$F30,M$4+6&gt;=$E30),"■","")</x:f>
      </x:c>
      <x:c r="N30" s="22" t="str">
        <x:f>IF(AND(N$4&lt;=$F30,N$4+6&gt;=$E30),"■","")</x:f>
      </x:c>
      <x:c r="O30" s="22" t="str">
        <x:f>IF(AND(O$4&lt;=$F30,O$4+6&gt;=$E30),"■","")</x:f>
      </x:c>
      <x:c r="P30" s="22" t="str">
        <x:f>IF(AND(P$4&lt;=$F30,P$4+6&gt;=$E30),"■","")</x:f>
      </x:c>
      <x:c r="Q30" s="22" t="str">
        <x:f>IF(AND(Q$4&lt;=$F30,Q$4+6&gt;=$E30),"■","")</x:f>
      </x:c>
      <x:c r="R30" s="22" t="str">
        <x:f>IF(AND(R$4&lt;=$F30,R$4+6&gt;=$E30),"■","")</x:f>
      </x:c>
      <x:c r="S30" s="32" t="n">
        <x:v>46313</x:v>
      </x:c>
      <x:c r="T30" s="24" t="str">
        <x:v>https://github.com/NicolasSsC/PyLevel/commit/9fa0e3364caf6738155d004be4102d80c06eb284</x:v>
      </x:c>
      <x:c r="U30" s="24" t="str">
        <x:v>Adelantado del Sprint 2 al 17–18/10. Guardado con control de revisiones y plazo de servidor. La calificación oficial sigue pendiente en EVAL-01.</x:v>
      </x:c>
    </x:row>
    <x:row r="31" ht="76" customHeight="1">
      <x:c r="A31" s="11" t="str">
        <x:v>EXAM-01</x:v>
      </x:c>
      <x:c r="B31" s="11" t="str">
        <x:v>Sprint 1</x:v>
      </x:c>
      <x:c r="C31" s="11" t="str">
        <x:v>Desarrollar la ventana de examen de Python</x:v>
      </x:c>
      <x:c r="D31" s="11" t="str">
        <x:v>Nicolas Camacho</x:v>
      </x:c>
      <x:c r="E31" s="30" t="n">
        <x:v>46312</x:v>
      </x:c>
      <x:c r="F31" s="30" t="n">
        <x:v>46313</x:v>
      </x:c>
      <x:c r="G31" s="19" t="n">
        <x:f>F31-E31+1</x:f>
        <x:v>2</x:v>
      </x:c>
      <x:c r="H31" s="11" t="str">
        <x:v>AUTH-03, DB-01</x:v>
      </x:c>
      <x:c r="I31" s="11" t="str">
        <x:v>Pantalla previa, tres retos de código, navegación por preguntas, revisión y confirmación de entrega</x:v>
      </x:c>
      <x:c r="J31" s="11" t="str">
        <x:v>Hecho</x:v>
      </x:c>
      <x:c r="K31" s="22" t="str">
        <x:f>IF(AND(K$4&lt;=$F31,K$4+6&gt;=$E31),"■","")</x:f>
      </x:c>
      <x:c r="L31" s="22" t="str">
        <x:f>IF(AND(L$4&lt;=$F31,L$4+6&gt;=$E31),"■","")</x:f>
        <x:v>■</x:v>
      </x:c>
      <x:c r="M31" s="22" t="str">
        <x:f>IF(AND(M$4&lt;=$F31,M$4+6&gt;=$E31),"■","")</x:f>
      </x:c>
      <x:c r="N31" s="22" t="str">
        <x:f>IF(AND(N$4&lt;=$F31,N$4+6&gt;=$E31),"■","")</x:f>
      </x:c>
      <x:c r="O31" s="22" t="str">
        <x:f>IF(AND(O$4&lt;=$F31,O$4+6&gt;=$E31),"■","")</x:f>
      </x:c>
      <x:c r="P31" s="22" t="str">
        <x:f>IF(AND(P$4&lt;=$F31,P$4+6&gt;=$E31),"■","")</x:f>
      </x:c>
      <x:c r="Q31" s="22" t="str">
        <x:f>IF(AND(Q$4&lt;=$F31,Q$4+6&gt;=$E31),"■","")</x:f>
      </x:c>
      <x:c r="R31" s="22" t="str">
        <x:f>IF(AND(R$4&lt;=$F31,R$4+6&gt;=$E31),"■","")</x:f>
      </x:c>
      <x:c r="S31" s="32" t="n">
        <x:v>46313</x:v>
      </x:c>
      <x:c r="T31" s="24" t="str">
        <x:v>https://github.com/NicolasSsC/PyLevel/commit/9fa0e3364caf6738155d004be4102d80c06eb284</x:v>
      </x:c>
      <x:c r="U31" s="24" t="str">
        <x:v>Examen de 30 minutos. Respuestas y entrega pendientes de revisión humana; no incluye calificación automática.</x:v>
      </x:c>
    </x:row>
    <x:row r="32" ht="76" customHeight="1">
      <x:c r="A32" s="13" t="str">
        <x:v>EXAM-02</x:v>
      </x:c>
      <x:c r="B32" s="13" t="str">
        <x:v>Sprint 1</x:v>
      </x:c>
      <x:c r="C32" s="13" t="str">
        <x:v>Implementar tiempo, autoguardado y recuperación del examen</x:v>
      </x:c>
      <x:c r="D32" s="11" t="str">
        <x:v>Nicolas Camacho</x:v>
      </x:c>
      <x:c r="E32" s="31" t="n">
        <x:v>46312</x:v>
      </x:c>
      <x:c r="F32" s="31" t="n">
        <x:v>46313</x:v>
      </x:c>
      <x:c r="G32" s="26" t="n">
        <x:f>F32-E32+1</x:f>
        <x:v>2</x:v>
      </x:c>
      <x:c r="H32" s="13" t="str">
        <x:v>EXAM-01, DB-01</x:v>
      </x:c>
      <x:c r="I32" s="13" t="str">
        <x:v>Plazo de servidor, guardado automático, recuperación local y resolución de conflictos entre pestañas</x:v>
      </x:c>
      <x:c r="J32" s="13" t="str">
        <x:v>Hecho</x:v>
      </x:c>
      <x:c r="K32" s="22" t="str">
        <x:f>IF(AND(K$4&lt;=$F32,K$4+6&gt;=$E32),"■","")</x:f>
      </x:c>
      <x:c r="L32" s="22" t="str">
        <x:f>IF(AND(L$4&lt;=$F32,L$4+6&gt;=$E32),"■","")</x:f>
        <x:v>■</x:v>
      </x:c>
      <x:c r="M32" s="22" t="str">
        <x:f>IF(AND(M$4&lt;=$F32,M$4+6&gt;=$E32),"■","")</x:f>
      </x:c>
      <x:c r="N32" s="22" t="str">
        <x:f>IF(AND(N$4&lt;=$F32,N$4+6&gt;=$E32),"■","")</x:f>
      </x:c>
      <x:c r="O32" s="22" t="str">
        <x:f>IF(AND(O$4&lt;=$F32,O$4+6&gt;=$E32),"■","")</x:f>
      </x:c>
      <x:c r="P32" s="22" t="str">
        <x:f>IF(AND(P$4&lt;=$F32,P$4+6&gt;=$E32),"■","")</x:f>
      </x:c>
      <x:c r="Q32" s="22" t="str">
        <x:f>IF(AND(Q$4&lt;=$F32,Q$4+6&gt;=$E32),"■","")</x:f>
      </x:c>
      <x:c r="R32" s="22" t="str">
        <x:f>IF(AND(R$4&lt;=$F32,R$4+6&gt;=$E32),"■","")</x:f>
      </x:c>
      <x:c r="S32" s="32" t="n">
        <x:v>46313</x:v>
      </x:c>
      <x:c r="T32" s="24" t="str">
        <x:v>https://github.com/NicolasSsC/PyLevel/commit/9fa0e3364caf6738155d004be4102d80c06eb284</x:v>
      </x:c>
      <x:c r="U32" s="24" t="str">
        <x:v>Volver a entrar no reinicia el tiempo. Entrega inmutable y rechazo de respuestas fuera de plazo.</x:v>
      </x:c>
    </x:row>
    <x:row r="33" ht="76" customHeight="1">
      <x:c r="A33" s="11" t="str">
        <x:v>EXAM-03</x:v>
      </x:c>
      <x:c r="B33" s="11" t="str">
        <x:v>Sprint 1</x:v>
      </x:c>
      <x:c r="C33" s="11" t="str">
        <x:v>Registrar salidas de pestaña y ventana durante el examen</x:v>
      </x:c>
      <x:c r="D33" s="11" t="str">
        <x:v>Nicolas Camacho</x:v>
      </x:c>
      <x:c r="E33" s="30" t="n">
        <x:v>46312</x:v>
      </x:c>
      <x:c r="F33" s="30" t="n">
        <x:v>46313</x:v>
      </x:c>
      <x:c r="G33" s="19" t="n">
        <x:f>F33-E33+1</x:f>
        <x:v>2</x:v>
      </x:c>
      <x:c r="H33" s="11" t="str">
        <x:v>EXAM-01, DB-01</x:v>
      </x:c>
      <x:c r="I33" s="11" t="str">
        <x:v>Avisos por pérdida de foco y visibilidad, señales de cierre y reconexión, registro sin duplicados</x:v>
      </x:c>
      <x:c r="J33" s="11" t="str">
        <x:v>Hecho</x:v>
      </x:c>
      <x:c r="K33" s="22" t="str">
        <x:f>IF(AND(K$4&lt;=$F33,K$4+6&gt;=$E33),"■","")</x:f>
      </x:c>
      <x:c r="L33" s="22" t="str">
        <x:f>IF(AND(L$4&lt;=$F33,L$4+6&gt;=$E33),"■","")</x:f>
        <x:v>■</x:v>
      </x:c>
      <x:c r="M33" s="22" t="str">
        <x:f>IF(AND(M$4&lt;=$F33,M$4+6&gt;=$E33),"■","")</x:f>
      </x:c>
      <x:c r="N33" s="22" t="str">
        <x:f>IF(AND(N$4&lt;=$F33,N$4+6&gt;=$E33),"■","")</x:f>
      </x:c>
      <x:c r="O33" s="22" t="str">
        <x:f>IF(AND(O$4&lt;=$F33,O$4+6&gt;=$E33),"■","")</x:f>
      </x:c>
      <x:c r="P33" s="22" t="str">
        <x:f>IF(AND(P$4&lt;=$F33,P$4+6&gt;=$E33),"■","")</x:f>
      </x:c>
      <x:c r="Q33" s="22" t="str">
        <x:f>IF(AND(Q$4&lt;=$F33,Q$4+6&gt;=$E33),"■","")</x:f>
      </x:c>
      <x:c r="R33" s="22" t="str">
        <x:f>IF(AND(R$4&lt;=$F33,R$4+6&gt;=$E33),"■","")</x:f>
      </x:c>
      <x:c r="S33" s="32" t="n">
        <x:v>46313</x:v>
      </x:c>
      <x:c r="T33" s="24" t="str">
        <x:v>https://github.com/NicolasSsC/PyLevel/commit/9fa0e3364caf6738155d004be4102d80c06eb284</x:v>
      </x:c>
      <x:c r="U33" s="24" t="str">
        <x:v>Las incidencias requieren revisión. Un cierre y una desconexión no se distinguen con certeza; no hay penalización automática.</x:v>
      </x:c>
    </x:row>
    <x:row r="34" ht="76" customHeight="1">
      <x:c r="A34" s="13" t="str">
        <x:v>PERF-02</x:v>
      </x:c>
      <x:c r="B34" s="13" t="str">
        <x:v>Sprint 1</x:v>
      </x:c>
      <x:c r="C34" s="13" t="str">
        <x:v>Actualizar y editar los datos personales del perfil</x:v>
      </x:c>
      <x:c r="D34" s="11" t="str">
        <x:v>Juan Carvajal / Camilo Jaimes</x:v>
      </x:c>
      <x:c r="E34" s="31" t="n">
        <x:v>46313</x:v>
      </x:c>
      <x:c r="F34" s="31" t="n">
        <x:v>46313</x:v>
      </x:c>
      <x:c r="G34" s="26" t="n">
        <x:f>F34-E34+1</x:f>
        <x:v>1</x:v>
      </x:c>
      <x:c r="H34" s="13" t="str">
        <x:v>AUTH-03, DB-01, PERF-01</x:v>
      </x:c>
      <x:c r="I34" s="13" t="str">
        <x:v>Nombre, ocupación, cumpleaños, correo y cierre de sesión con datos persistidos en PostgreSQL</x:v>
      </x:c>
      <x:c r="J34" s="13" t="str">
        <x:v>Hecho</x:v>
      </x:c>
      <x:c r="K34" s="22" t="str">
        <x:f>IF(AND(K$4&lt;=$F34,K$4+6&gt;=$E34),"■","")</x:f>
      </x:c>
      <x:c r="L34" s="22" t="str">
        <x:f>IF(AND(L$4&lt;=$F34,L$4+6&gt;=$E34),"■","")</x:f>
        <x:v>■</x:v>
      </x:c>
      <x:c r="M34" s="22" t="str">
        <x:f>IF(AND(M$4&lt;=$F34,M$4+6&gt;=$E34),"■","")</x:f>
      </x:c>
      <x:c r="N34" s="22" t="str">
        <x:f>IF(AND(N$4&lt;=$F34,N$4+6&gt;=$E34),"■","")</x:f>
      </x:c>
      <x:c r="O34" s="22" t="str">
        <x:f>IF(AND(O$4&lt;=$F34,O$4+6&gt;=$E34),"■","")</x:f>
      </x:c>
      <x:c r="P34" s="22" t="str">
        <x:f>IF(AND(P$4&lt;=$F34,P$4+6&gt;=$E34),"■","")</x:f>
      </x:c>
      <x:c r="Q34" s="22" t="str">
        <x:f>IF(AND(Q$4&lt;=$F34,Q$4+6&gt;=$E34),"■","")</x:f>
      </x:c>
      <x:c r="R34" s="22" t="str">
        <x:f>IF(AND(R$4&lt;=$F34,R$4+6&gt;=$E34),"■","")</x:f>
      </x:c>
      <x:c r="S34" s="32" t="n">
        <x:v>46313</x:v>
      </x:c>
      <x:c r="T34" s="24" t="str">
        <x:v>https://github.com/NicolasSsC/PyLevel/commit/9fa0e3364caf6738155d004be4102d80c06eb284</x:v>
      </x:c>
      <x:c r="U34" s="24" t="str">
        <x:v>El cambio de correo exige la contraseña actual y revoca otras sesiones. Se eliminaron los datos de perfil simulados.</x:v>
      </x:c>
    </x:row>
    <x:row r="35" ht="76" customHeight="1">
      <x:c r="A35" s="11" t="str">
        <x:v>PERF-03</x:v>
      </x:c>
      <x:c r="B35" s="11" t="str">
        <x:v>Sprint 1</x:v>
      </x:c>
      <x:c r="C35" s="11" t="str">
        <x:v>Mostrar el historial de exámenes en Mi perfil</x:v>
      </x:c>
      <x:c r="D35" s="11" t="str">
        <x:v>Juan Carvajal / Camilo Jaimes</x:v>
      </x:c>
      <x:c r="E35" s="30" t="n">
        <x:v>46313</x:v>
      </x:c>
      <x:c r="F35" s="30" t="n">
        <x:v>46313</x:v>
      </x:c>
      <x:c r="G35" s="19" t="n">
        <x:f>F35-E35+1</x:f>
        <x:v>1</x:v>
      </x:c>
      <x:c r="H35" s="11" t="str">
        <x:v>PERF-02, EXAM-02</x:v>
      </x:c>
      <x:c r="I35" s="11" t="str">
        <x:v>Lista de intentos, fechas, estados de entrega y calificación pendiente de revisión</x:v>
      </x:c>
      <x:c r="J35" s="11" t="str">
        <x:v>Hecho</x:v>
      </x:c>
      <x:c r="K35" s="22" t="str">
        <x:f>IF(AND(K$4&lt;=$F35,K$4+6&gt;=$E35),"■","")</x:f>
      </x:c>
      <x:c r="L35" s="22" t="str">
        <x:f>IF(AND(L$4&lt;=$F35,L$4+6&gt;=$E35),"■","")</x:f>
        <x:v>■</x:v>
      </x:c>
      <x:c r="M35" s="22" t="str">
        <x:f>IF(AND(M$4&lt;=$F35,M$4+6&gt;=$E35),"■","")</x:f>
      </x:c>
      <x:c r="N35" s="22" t="str">
        <x:f>IF(AND(N$4&lt;=$F35,N$4+6&gt;=$E35),"■","")</x:f>
      </x:c>
      <x:c r="O35" s="22" t="str">
        <x:f>IF(AND(O$4&lt;=$F35,O$4+6&gt;=$E35),"■","")</x:f>
      </x:c>
      <x:c r="P35" s="22" t="str">
        <x:f>IF(AND(P$4&lt;=$F35,P$4+6&gt;=$E35),"■","")</x:f>
      </x:c>
      <x:c r="Q35" s="22" t="str">
        <x:f>IF(AND(Q$4&lt;=$F35,Q$4+6&gt;=$E35),"■","")</x:f>
      </x:c>
      <x:c r="R35" s="22" t="str">
        <x:f>IF(AND(R$4&lt;=$F35,R$4+6&gt;=$E35),"■","")</x:f>
      </x:c>
      <x:c r="S35" s="32" t="n">
        <x:v>46313</x:v>
      </x:c>
      <x:c r="T35" s="24" t="str">
        <x:v>https://github.com/NicolasSsC/PyLevel/commit/9fa0e3364caf6738155d004be4102d80c06eb284</x:v>
      </x:c>
      <x:c r="U35" s="24" t="str">
        <x:v>El historial consulta los intentos de la cuenta autenticada. No muestra notas inventadas.</x:v>
      </x:c>
    </x:row>
    <x:row r="36" ht="76" customHeight="1">
      <x:c r="A36" s="13" t="str">
        <x:v>PROG-01</x:v>
      </x:c>
      <x:c r="B36" s="13" t="str">
        <x:v>Sprint 1</x:v>
      </x:c>
      <x:c r="C36" s="13" t="str">
        <x:v>Registrar la actividad real de los ejercicios</x:v>
      </x:c>
      <x:c r="D36" s="11" t="str">
        <x:v>Nicolas Camacho</x:v>
      </x:c>
      <x:c r="E36" s="31" t="n">
        <x:v>46312</x:v>
      </x:c>
      <x:c r="F36" s="31" t="n">
        <x:v>46313</x:v>
      </x:c>
      <x:c r="G36" s="26" t="n">
        <x:f>F36-E36+1</x:f>
        <x:v>2</x:v>
      </x:c>
      <x:c r="H36" s="13" t="str">
        <x:v>DB-01, AUTH-03, UI-01, UI-02</x:v>
      </x:c>
      <x:c r="I36" s="13" t="str">
        <x:v>Registro de ejecuciones, pruebas, pistas, ejercicios superados y errores técnicos por usuario</x:v>
      </x:c>
      <x:c r="J36" s="13" t="str">
        <x:v>Hecho</x:v>
      </x:c>
      <x:c r="K36" s="22" t="str">
        <x:f>IF(AND(K$4&lt;=$F36,K$4+6&gt;=$E36),"■","")</x:f>
      </x:c>
      <x:c r="L36" s="22" t="str">
        <x:f>IF(AND(L$4&lt;=$F36,L$4+6&gt;=$E36),"■","")</x:f>
        <x:v>■</x:v>
      </x:c>
      <x:c r="M36" s="22" t="str">
        <x:f>IF(AND(M$4&lt;=$F36,M$4+6&gt;=$E36),"■","")</x:f>
      </x:c>
      <x:c r="N36" s="22" t="str">
        <x:f>IF(AND(N$4&lt;=$F36,N$4+6&gt;=$E36),"■","")</x:f>
      </x:c>
      <x:c r="O36" s="22" t="str">
        <x:f>IF(AND(O$4&lt;=$F36,O$4+6&gt;=$E36),"■","")</x:f>
      </x:c>
      <x:c r="P36" s="22" t="str">
        <x:f>IF(AND(P$4&lt;=$F36,P$4+6&gt;=$E36),"■","")</x:f>
      </x:c>
      <x:c r="Q36" s="22" t="str">
        <x:f>IF(AND(Q$4&lt;=$F36,Q$4+6&gt;=$E36),"■","")</x:f>
      </x:c>
      <x:c r="R36" s="22" t="str">
        <x:f>IF(AND(R$4&lt;=$F36,R$4+6&gt;=$E36),"■","")</x:f>
      </x:c>
      <x:c r="S36" s="32" t="n">
        <x:v>46313</x:v>
      </x:c>
      <x:c r="T36" s="24" t="str">
        <x:v>https://github.com/NicolasSsC/PyLevel/commit/9fa0e3364caf6738155d004be4102d80c06eb284</x:v>
      </x:c>
      <x:c r="U36" s="24" t="str">
        <x:v>Las pruebas originales del servidor determinan la resolución. La consulta de pistas no descuenta puntos.</x:v>
      </x:c>
    </x:row>
    <x:row r="37" ht="76" customHeight="1">
      <x:c r="A37" s="11" t="str">
        <x:v>PROG-02</x:v>
      </x:c>
      <x:c r="B37" s="11" t="str">
        <x:v>Sprint 1</x:v>
      </x:c>
      <x:c r="C37" s="11" t="str">
        <x:v>Desarrollar Progreso y métricas con feedback de actividad</x:v>
      </x:c>
      <x:c r="D37" s="11" t="str">
        <x:v>Juan Carvajal / Camilo Jaimes</x:v>
      </x:c>
      <x:c r="E37" s="30" t="n">
        <x:v>46313</x:v>
      </x:c>
      <x:c r="F37" s="30" t="n">
        <x:v>46313</x:v>
      </x:c>
      <x:c r="G37" s="19" t="n">
        <x:f>F37-E37+1</x:f>
        <x:v>1</x:v>
      </x:c>
      <x:c r="H37" s="11" t="str">
        <x:v>PROG-01, PERF-02</x:v>
      </x:c>
      <x:c r="I37" s="11" t="str">
        <x:v>Ejercicios realizados, avance por temas y recomendaciones basadas en la actividad registrada</x:v>
      </x:c>
      <x:c r="J37" s="11" t="str">
        <x:v>Hecho</x:v>
      </x:c>
      <x:c r="K37" s="22" t="str">
        <x:f>IF(AND(K$4&lt;=$F37,K$4+6&gt;=$E37),"■","")</x:f>
      </x:c>
      <x:c r="L37" s="22" t="str">
        <x:f>IF(AND(L$4&lt;=$F37,L$4+6&gt;=$E37),"■","")</x:f>
        <x:v>■</x:v>
      </x:c>
      <x:c r="M37" s="22" t="str">
        <x:f>IF(AND(M$4&lt;=$F37,M$4+6&gt;=$E37),"■","")</x:f>
      </x:c>
      <x:c r="N37" s="22" t="str">
        <x:f>IF(AND(N$4&lt;=$F37,N$4+6&gt;=$E37),"■","")</x:f>
      </x:c>
      <x:c r="O37" s="22" t="str">
        <x:f>IF(AND(O$4&lt;=$F37,O$4+6&gt;=$E37),"■","")</x:f>
      </x:c>
      <x:c r="P37" s="22" t="str">
        <x:f>IF(AND(P$4&lt;=$F37,P$4+6&gt;=$E37),"■","")</x:f>
      </x:c>
      <x:c r="Q37" s="22" t="str">
        <x:f>IF(AND(Q$4&lt;=$F37,Q$4+6&gt;=$E37),"■","")</x:f>
      </x:c>
      <x:c r="R37" s="22" t="str">
        <x:f>IF(AND(R$4&lt;=$F37,R$4+6&gt;=$E37),"■","")</x:f>
      </x:c>
      <x:c r="S37" s="32" t="n">
        <x:v>46313</x:v>
      </x:c>
      <x:c r="T37" s="24" t="str">
        <x:v>https://github.com/NicolasSsC/PyLevel/commit/9fa0e3364caf6738155d004be4102d80c06eb284</x:v>
      </x:c>
      <x:c r="U37" s="24" t="str">
        <x:v>Feedback derivado de resultados, intentos, pistas y fallos técnicos. Sin métricas simuladas.</x:v>
      </x:c>
    </x:row>
    <x:row r="38" ht="76" customHeight="1">
      <x:c r="A38" s="13" t="str">
        <x:v>HOME-01</x:v>
      </x:c>
      <x:c r="B38" s="13" t="str">
        <x:v>Sprint 1</x:v>
      </x:c>
      <x:c r="C38" s="13" t="str">
        <x:v>Crear la portada con el logo de Python y sus aplicaciones</x:v>
      </x:c>
      <x:c r="D38" s="11" t="str">
        <x:v>Nicolas Camacho</x:v>
      </x:c>
      <x:c r="E38" s="31" t="n">
        <x:v>46313</x:v>
      </x:c>
      <x:c r="F38" s="31" t="n">
        <x:v>46313</x:v>
      </x:c>
      <x:c r="G38" s="26" t="n">
        <x:f>F38-E38+1</x:f>
        <x:v>1</x:v>
      </x:c>
      <x:c r="H38" s="13" t="str">
        <x:v>UI-03, CAT-02</x:v>
      </x:c>
      <x:c r="I38" s="13" t="str">
        <x:v>Hero con logo oficial, explicación de Python, IA, robótica, análisis de datos y desarrollo de aplicaciones</x:v>
      </x:c>
      <x:c r="J38" s="13" t="str">
        <x:v>Hecho</x:v>
      </x:c>
      <x:c r="K38" s="22" t="str">
        <x:f>IF(AND(K$4&lt;=$F38,K$4+6&gt;=$E38),"■","")</x:f>
      </x:c>
      <x:c r="L38" s="22" t="str">
        <x:f>IF(AND(L$4&lt;=$F38,L$4+6&gt;=$E38),"■","")</x:f>
        <x:v>■</x:v>
      </x:c>
      <x:c r="M38" s="22" t="str">
        <x:f>IF(AND(M$4&lt;=$F38,M$4+6&gt;=$E38),"■","")</x:f>
      </x:c>
      <x:c r="N38" s="22" t="str">
        <x:f>IF(AND(N$4&lt;=$F38,N$4+6&gt;=$E38),"■","")</x:f>
      </x:c>
      <x:c r="O38" s="22" t="str">
        <x:f>IF(AND(O$4&lt;=$F38,O$4+6&gt;=$E38),"■","")</x:f>
      </x:c>
      <x:c r="P38" s="22" t="str">
        <x:f>IF(AND(P$4&lt;=$F38,P$4+6&gt;=$E38),"■","")</x:f>
      </x:c>
      <x:c r="Q38" s="22" t="str">
        <x:f>IF(AND(Q$4&lt;=$F38,Q$4+6&gt;=$E38),"■","")</x:f>
      </x:c>
      <x:c r="R38" s="22" t="str">
        <x:f>IF(AND(R$4&lt;=$F38,R$4+6&gt;=$E38),"■","")</x:f>
      </x:c>
      <x:c r="S38" s="32" t="n">
        <x:v>46313</x:v>
      </x:c>
      <x:c r="T38" s="24" t="str">
        <x:v>https://github.com/NicolasSsC/PyLevel/commit/9fa0e3364caf6738155d004be4102d80c06eb284</x:v>
      </x:c>
      <x:c r="U38" s="24" t="str">
        <x:v>Incluye llamadas a los ejercicios y el cierre «Con Python, construye lo que te imagines».</x:v>
      </x:c>
    </x:row>
    <x:row r="39" ht="76" customHeight="1">
      <x:c r="A39" s="11" t="str">
        <x:v>HOME-02</x:v>
      </x:c>
      <x:c r="B39" s="11" t="str">
        <x:v>Sprint 1</x:v>
      </x:c>
      <x:c r="C39" s="11" t="str">
        <x:v>Añadir animaciones de scroll y navegación en la portada</x:v>
      </x:c>
      <x:c r="D39" s="11" t="str">
        <x:v>Nicolas Camacho</x:v>
      </x:c>
      <x:c r="E39" s="30" t="n">
        <x:v>46313</x:v>
      </x:c>
      <x:c r="F39" s="30" t="n">
        <x:v>46313</x:v>
      </x:c>
      <x:c r="G39" s="19" t="n">
        <x:f>F39-E39+1</x:f>
        <x:v>1</x:v>
      </x:c>
      <x:c r="H39" s="11" t="str">
        <x:v>HOME-01, UI-04</x:v>
      </x:c>
      <x:c r="I39" s="11" t="str">
        <x:v>Aparición de secciones, ilustraciones animadas, progreso de lectura y capítulos de navegación</x:v>
      </x:c>
      <x:c r="J39" s="11" t="str">
        <x:v>Hecho</x:v>
      </x:c>
      <x:c r="K39" s="22" t="str">
        <x:f>IF(AND(K$4&lt;=$F39,K$4+6&gt;=$E39),"■","")</x:f>
      </x:c>
      <x:c r="L39" s="22" t="str">
        <x:f>IF(AND(L$4&lt;=$F39,L$4+6&gt;=$E39),"■","")</x:f>
        <x:v>■</x:v>
      </x:c>
      <x:c r="M39" s="22" t="str">
        <x:f>IF(AND(M$4&lt;=$F39,M$4+6&gt;=$E39),"■","")</x:f>
      </x:c>
      <x:c r="N39" s="22" t="str">
        <x:f>IF(AND(N$4&lt;=$F39,N$4+6&gt;=$E39),"■","")</x:f>
      </x:c>
      <x:c r="O39" s="22" t="str">
        <x:f>IF(AND(O$4&lt;=$F39,O$4+6&gt;=$E39),"■","")</x:f>
      </x:c>
      <x:c r="P39" s="22" t="str">
        <x:f>IF(AND(P$4&lt;=$F39,P$4+6&gt;=$E39),"■","")</x:f>
      </x:c>
      <x:c r="Q39" s="22" t="str">
        <x:f>IF(AND(Q$4&lt;=$F39,Q$4+6&gt;=$E39),"■","")</x:f>
      </x:c>
      <x:c r="R39" s="22" t="str">
        <x:f>IF(AND(R$4&lt;=$F39,R$4+6&gt;=$E39),"■","")</x:f>
      </x:c>
      <x:c r="S39" s="32" t="n">
        <x:v>46313</x:v>
      </x:c>
      <x:c r="T39" s="24" t="str">
        <x:v>https://github.com/NicolasSsC/PyLevel/commit/9fa0e3364caf6738155d004be4102d80c06eb284</x:v>
      </x:c>
      <x:c r="U39" s="24" t="str">
        <x:v>Diseño adaptable y compatibilidad con movimiento reducido. Recursos visuales locales.</x:v>
      </x:c>
    </x:row>
    <x:row r="40" ht="76" customHeight="1">
      <x:c r="A40" s="13" t="str">
        <x:v>CAM-01</x:v>
      </x:c>
      <x:c r="B40" s="13" t="str">
        <x:v>Sprint 1</x:v>
      </x:c>
      <x:c r="C40" s="13" t="str">
        <x:v>Integrar permisos y procesamiento local de cámara</x:v>
      </x:c>
      <x:c r="D40" s="11" t="str">
        <x:v>Nicolas Camacho</x:v>
      </x:c>
      <x:c r="E40" s="31" t="n">
        <x:v>46313</x:v>
      </x:c>
      <x:c r="F40" s="31" t="n">
        <x:v>46313</x:v>
      </x:c>
      <x:c r="G40" s="26" t="n">
        <x:f>F40-E40+1</x:f>
        <x:v>1</x:v>
      </x:c>
      <x:c r="H40" s="13" t="str">
        <x:v>EXAM-01, AUTH-03</x:v>
      </x:c>
      <x:c r="I40" s="13" t="str">
        <x:v>Consentimiento, permiso del navegador, vista previa y detector local de rostros con MediaPipe en un Worker</x:v>
      </x:c>
      <x:c r="J40" s="13" t="str">
        <x:v>Hecho</x:v>
      </x:c>
      <x:c r="K40" s="22" t="str">
        <x:f>IF(AND(K$4&lt;=$F40,K$4+6&gt;=$E40),"■","")</x:f>
      </x:c>
      <x:c r="L40" s="22" t="str">
        <x:f>IF(AND(L$4&lt;=$F40,L$4+6&gt;=$E40),"■","")</x:f>
        <x:v>■</x:v>
      </x:c>
      <x:c r="M40" s="22" t="str">
        <x:f>IF(AND(M$4&lt;=$F40,M$4+6&gt;=$E40),"■","")</x:f>
      </x:c>
      <x:c r="N40" s="22" t="str">
        <x:f>IF(AND(N$4&lt;=$F40,N$4+6&gt;=$E40),"■","")</x:f>
      </x:c>
      <x:c r="O40" s="22" t="str">
        <x:f>IF(AND(O$4&lt;=$F40,O$4+6&gt;=$E40),"■","")</x:f>
      </x:c>
      <x:c r="P40" s="22" t="str">
        <x:f>IF(AND(P$4&lt;=$F40,P$4+6&gt;=$E40),"■","")</x:f>
      </x:c>
      <x:c r="Q40" s="22" t="str">
        <x:f>IF(AND(Q$4&lt;=$F40,Q$4+6&gt;=$E40),"■","")</x:f>
      </x:c>
      <x:c r="R40" s="22" t="str">
        <x:f>IF(AND(R$4&lt;=$F40,R$4+6&gt;=$E40),"■","")</x:f>
      </x:c>
      <x:c r="S40" s="32" t="n">
        <x:v>46313</x:v>
      </x:c>
      <x:c r="T40" s="24" t="str">
        <x:v>https://github.com/NicolasSsC/PyLevel/commit/cb83adbe8549d4ac6727db67c0486336e858872f</x:v>
      </x:c>
      <x:c r="U40" s="24" t="str">
        <x:v>No se graban ni se envían imágenes, vídeo o audio. Modelo y runtime servidos desde la app; alternativa por dificultad técnica o accesibilidad.</x:v>
      </x:c>
    </x:row>
    <x:row r="41" ht="76" customHeight="1">
      <x:c r="A41" s="11" t="str">
        <x:v>CAM-02</x:v>
      </x:c>
      <x:c r="B41" s="11" t="str">
        <x:v>Sprint 1</x:v>
      </x:c>
      <x:c r="C41" s="11" t="str">
        <x:v>Detectar y registrar incidencias de cámara</x:v>
      </x:c>
      <x:c r="D41" s="11" t="str">
        <x:v>Nicolas Camacho</x:v>
      </x:c>
      <x:c r="E41" s="30" t="n">
        <x:v>46313</x:v>
      </x:c>
      <x:c r="F41" s="30" t="n">
        <x:v>46313</x:v>
      </x:c>
      <x:c r="G41" s="19" t="n">
        <x:f>F41-E41+1</x:f>
        <x:v>1</x:v>
      </x:c>
      <x:c r="H41" s="11" t="str">
        <x:v>CAM-01, EXAM-03, DB-01</x:v>
      </x:c>
      <x:c r="I41" s="11" t="str">
        <x:v>Avisos por ausencia sostenida, varios rostros e interrupciones, duración de episodios, reconexión y apagado al finalizar</x:v>
      </x:c>
      <x:c r="J41" s="11" t="str">
        <x:v>Hecho</x:v>
      </x:c>
      <x:c r="K41" s="22" t="str">
        <x:f>IF(AND(K$4&lt;=$F41,K$4+6&gt;=$E41),"■","")</x:f>
      </x:c>
      <x:c r="L41" s="22" t="str">
        <x:f>IF(AND(L$4&lt;=$F41,L$4+6&gt;=$E41),"■","")</x:f>
        <x:v>■</x:v>
      </x:c>
      <x:c r="M41" s="22" t="str">
        <x:f>IF(AND(M$4&lt;=$F41,M$4+6&gt;=$E41),"■","")</x:f>
      </x:c>
      <x:c r="N41" s="22" t="str">
        <x:f>IF(AND(N$4&lt;=$F41,N$4+6&gt;=$E41),"■","")</x:f>
      </x:c>
      <x:c r="O41" s="22" t="str">
        <x:f>IF(AND(O$4&lt;=$F41,O$4+6&gt;=$E41),"■","")</x:f>
      </x:c>
      <x:c r="P41" s="22" t="str">
        <x:f>IF(AND(P$4&lt;=$F41,P$4+6&gt;=$E41),"■","")</x:f>
      </x:c>
      <x:c r="Q41" s="22" t="str">
        <x:f>IF(AND(Q$4&lt;=$F41,Q$4+6&gt;=$E41),"■","")</x:f>
      </x:c>
      <x:c r="R41" s="22" t="str">
        <x:f>IF(AND(R$4&lt;=$F41,R$4+6&gt;=$E41),"■","")</x:f>
      </x:c>
      <x:c r="S41" s="32" t="n">
        <x:v>46313</x:v>
      </x:c>
      <x:c r="T41" s="24" t="str">
        <x:v>https://github.com/NicolasSsC/PyLevel/commit/cb83adbe8549d4ac6727db67c0486336e858872f</x:v>
      </x:c>
      <x:c r="U41" s="24" t="str">
        <x:v>Umbrales iniciales de 5 s sin rostro y 3 s con varios. Eventos sin duplicados y sin modificar la nota. Calibración con cámaras reales pendiente.</x:v>
      </x:c>
    </x:row>
    <x:row r="42" ht="76" customHeight="1">
      <x:c r="A42" s="13" t="str">
        <x:v>QA-APP</x:v>
      </x:c>
      <x:c r="B42" s="13" t="str">
        <x:v>Sprint 1</x:v>
      </x:c>
      <x:c r="C42" s="13" t="str">
        <x:v>Verificar sesiones, cuenta, examen y control de cámara</x:v>
      </x:c>
      <x:c r="D42" s="11" t="str">
        <x:v>Santiago Cuervo</x:v>
      </x:c>
      <x:c r="E42" s="31" t="n">
        <x:v>46312</x:v>
      </x:c>
      <x:c r="F42" s="31" t="n">
        <x:v>46313</x:v>
      </x:c>
      <x:c r="G42" s="26" t="n">
        <x:f>F42-E42+1</x:f>
        <x:v>2</x:v>
      </x:c>
      <x:c r="H42" s="13" t="str">
        <x:v>AUTH-03, EXAM-02, PERF-02, PROG-02, HOME-02, CAM-02</x:v>
      </x:c>
      <x:c r="I42" s="13" t="str">
        <x:v>Pruebas automatizadas de lógica y SQL, verificación HTTP, tipos, compilación y recorridos de navegador</x:v>
      </x:c>
      <x:c r="J42" s="13" t="str">
        <x:v>Hecho</x:v>
      </x:c>
      <x:c r="K42" s="22" t="str">
        <x:f>IF(AND(K$4&lt;=$F42,K$4+6&gt;=$E42),"■","")</x:f>
      </x:c>
      <x:c r="L42" s="22" t="str">
        <x:f>IF(AND(L$4&lt;=$F42,L$4+6&gt;=$E42),"■","")</x:f>
        <x:v>■</x:v>
      </x:c>
      <x:c r="M42" s="22" t="str">
        <x:f>IF(AND(M$4&lt;=$F42,M$4+6&gt;=$E42),"■","")</x:f>
      </x:c>
      <x:c r="N42" s="22" t="str">
        <x:f>IF(AND(N$4&lt;=$F42,N$4+6&gt;=$E42),"■","")</x:f>
      </x:c>
      <x:c r="O42" s="22" t="str">
        <x:f>IF(AND(O$4&lt;=$F42,O$4+6&gt;=$E42),"■","")</x:f>
      </x:c>
      <x:c r="P42" s="22" t="str">
        <x:f>IF(AND(P$4&lt;=$F42,P$4+6&gt;=$E42),"■","")</x:f>
      </x:c>
      <x:c r="Q42" s="22" t="str">
        <x:f>IF(AND(Q$4&lt;=$F42,Q$4+6&gt;=$E42),"■","")</x:f>
      </x:c>
      <x:c r="R42" s="22" t="str">
        <x:f>IF(AND(R$4&lt;=$F42,R$4+6&gt;=$E42),"■","")</x:f>
      </x:c>
      <x:c r="S42" s="32" t="n">
        <x:v>46313</x:v>
      </x:c>
      <x:c r="T42" s="24" t="str">
        <x:v>https://github.com/NicolasSsC/PyLevel/commit/cb83adbe8549d4ac6727db67c0486336e858872f</x:v>
      </x:c>
      <x:c r="U42" s="24" t="str">
        <x:v>24 pruebas automatizadas aprobadas y comprobación HTTP. Detector probado con cámara simulada. No sustituye la validación de Docker/runsc de QA-INT.</x:v>
      </x:c>
    </x:row>
    <x:row r="43" ht="76" customHeight="1">
      <x:c r="A43" s="11" t="str">
        <x:v>DOC-APP</x:v>
      </x:c>
      <x:c r="B43" s="11" t="str">
        <x:v>Sprint 1</x:v>
      </x:c>
      <x:c r="C43" s="11" t="str">
        <x:v>Documentar los módulos y las migraciones incorporadas</x:v>
      </x:c>
      <x:c r="D43" s="11" t="str">
        <x:v>Nicolas Camacho</x:v>
      </x:c>
      <x:c r="E43" s="30" t="n">
        <x:v>46313</x:v>
      </x:c>
      <x:c r="F43" s="30" t="n">
        <x:v>46313</x:v>
      </x:c>
      <x:c r="G43" s="19" t="n">
        <x:f>F43-E43+1</x:f>
        <x:v>1</x:v>
      </x:c>
      <x:c r="H43" s="11" t="str">
        <x:v>EXAM-03, PERF-03, PROG-02, HOME-02, CAM-02</x:v>
      </x:c>
      <x:c r="I43" s="11" t="str">
        <x:v>Documentación de sesiones, examen, cuenta, portada, cámara y preparación de migraciones</x:v>
      </x:c>
      <x:c r="J43" s="11" t="str">
        <x:v>Hecho</x:v>
      </x:c>
      <x:c r="K43" s="22" t="str">
        <x:f>IF(AND(K$4&lt;=$F43,K$4+6&gt;=$E43),"■","")</x:f>
      </x:c>
      <x:c r="L43" s="22" t="str">
        <x:f>IF(AND(L$4&lt;=$F43,L$4+6&gt;=$E43),"■","")</x:f>
        <x:v>■</x:v>
      </x:c>
      <x:c r="M43" s="22" t="str">
        <x:f>IF(AND(M$4&lt;=$F43,M$4+6&gt;=$E43),"■","")</x:f>
      </x:c>
      <x:c r="N43" s="22" t="str">
        <x:f>IF(AND(N$4&lt;=$F43,N$4+6&gt;=$E43),"■","")</x:f>
      </x:c>
      <x:c r="O43" s="22" t="str">
        <x:f>IF(AND(O$4&lt;=$F43,O$4+6&gt;=$E43),"■","")</x:f>
      </x:c>
      <x:c r="P43" s="22" t="str">
        <x:f>IF(AND(P$4&lt;=$F43,P$4+6&gt;=$E43),"■","")</x:f>
      </x:c>
      <x:c r="Q43" s="22" t="str">
        <x:f>IF(AND(Q$4&lt;=$F43,Q$4+6&gt;=$E43),"■","")</x:f>
      </x:c>
      <x:c r="R43" s="22" t="str">
        <x:f>IF(AND(R$4&lt;=$F43,R$4+6&gt;=$E43),"■","")</x:f>
      </x:c>
      <x:c r="S43" s="32" t="n">
        <x:v>46313</x:v>
      </x:c>
      <x:c r="T43" s="24" t="str">
        <x:v>https://github.com/NicolasSsC/PyLevel/commit/cb83adbe8549d4ac6727db67c0486336e858872f</x:v>
      </x:c>
      <x:c r="U43" s="24" t="str">
        <x:v>Incluye límites de supervisión, procesamiento local, despliegue por HTTPS y conservación de eventos. No acredita despliegue en producción.</x:v>
      </x:c>
    </x:row>
    <x:row r="44" ht="61.5" customHeight="1">
      <x:c r="A44" s="11" t="str">
        <x:v>ALG-02</x:v>
      </x:c>
      <x:c r="B44" s="11" t="str">
        <x:v>Sprint 1</x:v>
      </x:c>
      <x:c r="C44" s="11" t="str">
        <x:v>Formalizar diagrama y pseudocódigo del evaluador</x:v>
      </x:c>
      <x:c r="D44" s="11" t="str">
        <x:v>Nicolas Camacho</x:v>
      </x:c>
      <x:c r="E44" s="30" t="n">
        <x:v>46312</x:v>
      </x:c>
      <x:c r="F44" s="30" t="n">
        <x:v>46314</x:v>
      </x:c>
      <x:c r="G44" s="19" t="n">
        <x:f>F44-E44+1</x:f>
        <x:v>3</x:v>
      </x:c>
      <x:c r="H44" s="11" t="str">
        <x:v>ALG-03</x:v>
      </x:c>
      <x:c r="I44" s="11" t="str">
        <x:v>Flujo de evaluación, reglas de puntuación y manejo de errores documentados</x:v>
      </x:c>
      <x:c r="J44" s="11" t="str">
        <x:v>Pendiente</x:v>
      </x:c>
      <x:c r="K44" s="22" t="str">
        <x:f>IF(AND(K$4&lt;=$F44,K$4+6&gt;=$E44),"■","")</x:f>
      </x:c>
      <x:c r="L44" s="22" t="str">
        <x:f>IF(AND(L$4&lt;=$F44,L$4+6&gt;=$E44),"■","")</x:f>
        <x:v>■</x:v>
      </x:c>
      <x:c r="M44" s="22" t="str">
        <x:f>IF(AND(M$4&lt;=$F44,M$4+6&gt;=$E44),"■","")</x:f>
      </x:c>
      <x:c r="N44" s="22" t="str">
        <x:f>IF(AND(N$4&lt;=$F44,N$4+6&gt;=$E44),"■","")</x:f>
      </x:c>
      <x:c r="O44" s="22" t="str">
        <x:f>IF(AND(O$4&lt;=$F44,O$4+6&gt;=$E44),"■","")</x:f>
      </x:c>
      <x:c r="P44" s="22" t="str">
        <x:f>IF(AND(P$4&lt;=$F44,P$4+6&gt;=$E44),"■","")</x:f>
      </x:c>
      <x:c r="Q44" s="22" t="str">
        <x:f>IF(AND(Q$4&lt;=$F44,Q$4+6&gt;=$E44),"■","")</x:f>
      </x:c>
      <x:c r="R44" s="22" t="str">
        <x:f>IF(AND(R$4&lt;=$F44,R$4+6&gt;=$E44),"■","")</x:f>
      </x:c>
      <x:c r="S44" s="32"/>
      <x:c r="T44" s="24"/>
      <x:c r="U44" s="24" t="str">
        <x:v>El cronograma original lo marcaba Hecho. No se encontró el entregable y el usuario confirma trabajo de desarrollo únicamente.</x:v>
      </x:c>
    </x:row>
    <x:row r="45" ht="61.5" customHeight="1">
      <x:c r="A45" s="11" t="str">
        <x:v>QA-INT</x:v>
      </x:c>
      <x:c r="B45" s="11" t="str">
        <x:v>Sprint 1</x:v>
      </x:c>
      <x:c r="C45" s="11" t="str">
        <x:v>Validar el prototipo y registrar resultados de prueba</x:v>
      </x:c>
      <x:c r="D45" s="11" t="str">
        <x:v>Santiago Cuervo</x:v>
      </x:c>
      <x:c r="E45" s="30" t="n">
        <x:v>46312</x:v>
      </x:c>
      <x:c r="F45" s="30" t="n">
        <x:v>46315</x:v>
      </x:c>
      <x:c r="G45" s="19" t="n">
        <x:f>F45-E45+1</x:f>
        <x:v>4</x:v>
      </x:c>
      <x:c r="H45" s="11" t="str">
        <x:v>QA-DEV, QA-01, ALG-03, PERF-01</x:v>
      </x:c>
      <x:c r="I45" s="11" t="str">
        <x:v>Ejecución con Docker y runsc, registro/login y recorridos de ambos editores comprobados</x:v>
      </x:c>
      <x:c r="J45" s="11" t="str">
        <x:v>En curso</x:v>
      </x:c>
      <x:c r="K45" s="22" t="str">
        <x:f>IF(AND(K$4&lt;=$F45,K$4+6&gt;=$E45),"■","")</x:f>
      </x:c>
      <x:c r="L45" s="22" t="str">
        <x:f>IF(AND(L$4&lt;=$F45,L$4+6&gt;=$E45),"■","")</x:f>
        <x:v>■</x:v>
      </x:c>
      <x:c r="M45" s="22" t="str">
        <x:f>IF(AND(M$4&lt;=$F45,M$4+6&gt;=$E45),"■","")</x:f>
      </x:c>
      <x:c r="N45" s="22" t="str">
        <x:f>IF(AND(N$4&lt;=$F45,N$4+6&gt;=$E45),"■","")</x:f>
      </x:c>
      <x:c r="O45" s="22" t="str">
        <x:f>IF(AND(O$4&lt;=$F45,O$4+6&gt;=$E45),"■","")</x:f>
      </x:c>
      <x:c r="P45" s="22" t="str">
        <x:f>IF(AND(P$4&lt;=$F45,P$4+6&gt;=$E45),"■","")</x:f>
      </x:c>
      <x:c r="Q45" s="22" t="str">
        <x:f>IF(AND(Q$4&lt;=$F45,Q$4+6&gt;=$E45),"■","")</x:f>
      </x:c>
      <x:c r="R45" s="22" t="str">
        <x:f>IF(AND(R$4&lt;=$F45,R$4+6&gt;=$E45),"■","")</x:f>
      </x:c>
      <x:c r="S45" s="32"/>
      <x:c r="T45" s="24"/>
      <x:c r="U45" s="24" t="str">
        <x:v>Validaciones de aplicación y HTTP ejecutadas en QA-APP. Sigue pendiente comprobar el supervisor con Docker y runsc y los recorridos completos del ejecutor.</x:v>
      </x:c>
    </x:row>
    <x:row r="46" ht="61.5" customHeight="1">
      <x:c r="A46" s="13" t="str">
        <x:v>EVAL-01</x:v>
      </x:c>
      <x:c r="B46" s="13" t="str">
        <x:v>Sprint 2</x:v>
      </x:c>
      <x:c r="C46" s="13" t="str">
        <x:v>Implementar evaluador y puntuación oficial</x:v>
      </x:c>
      <x:c r="D46" s="11" t="str">
        <x:v>Nicolas Camacho</x:v>
      </x:c>
      <x:c r="E46" s="31" t="n">
        <x:v>46316</x:v>
      </x:c>
      <x:c r="F46" s="31" t="n">
        <x:v>46322</x:v>
      </x:c>
      <x:c r="G46" s="26" t="n">
        <x:f>F46-E46+1</x:f>
        <x:v>7</x:v>
      </x:c>
      <x:c r="H46" s="13" t="str">
        <x:v>ALG-02, QA-INT</x:v>
      </x:c>
      <x:c r="I46" s="13" t="str">
        <x:v>Evaluación reproducible, pruebas de calificación y reglas de puntuación y pistas</x:v>
      </x:c>
      <x:c r="J46" s="13" t="str">
        <x:v>Pendiente</x:v>
      </x:c>
      <x:c r="K46" s="22" t="str">
        <x:f>IF(AND(K$4&lt;=$F46,K$4+6&gt;=$E46),"■","")</x:f>
      </x:c>
      <x:c r="L46" s="22" t="str">
        <x:f>IF(AND(L$4&lt;=$F46,L$4+6&gt;=$E46),"■","")</x:f>
      </x:c>
      <x:c r="M46" s="22" t="str">
        <x:f>IF(AND(M$4&lt;=$F46,M$4+6&gt;=$E46),"■","")</x:f>
        <x:v>■</x:v>
      </x:c>
      <x:c r="N46" s="22" t="str">
        <x:f>IF(AND(N$4&lt;=$F46,N$4+6&gt;=$E46),"■","")</x:f>
      </x:c>
      <x:c r="O46" s="22" t="str">
        <x:f>IF(AND(O$4&lt;=$F46,O$4+6&gt;=$E46),"■","")</x:f>
      </x:c>
      <x:c r="P46" s="22" t="str">
        <x:f>IF(AND(P$4&lt;=$F46,P$4+6&gt;=$E46),"■","")</x:f>
      </x:c>
      <x:c r="Q46" s="22" t="str">
        <x:f>IF(AND(Q$4&lt;=$F46,Q$4+6&gt;=$E46),"■","")</x:f>
      </x:c>
      <x:c r="R46" s="22" t="str">
        <x:f>IF(AND(R$4&lt;=$F46,R$4+6&gt;=$E46),"■","")</x:f>
      </x:c>
      <x:c r="S46" s="32"/>
      <x:c r="T46" s="24"/>
      <x:c r="U46" s="24" t="str">
        <x:v>El ejecutor y las pruebas públicas actuales no acreditan calificaciones.</x:v>
      </x:c>
    </x:row>
    <x:row r="47" ht="61.5" customHeight="1">
      <x:c r="A47" s="13" t="str">
        <x:v>SEC-PROD</x:v>
      </x:c>
      <x:c r="B47" s="13" t="str">
        <x:v>Sprint 2</x:v>
      </x:c>
      <x:c r="C47" s="13" t="str">
        <x:v>Preparar API y control de ejecución para producción</x:v>
      </x:c>
      <x:c r="D47" s="11" t="str">
        <x:v>Nicolas Camacho</x:v>
      </x:c>
      <x:c r="E47" s="31" t="n">
        <x:v>46316</x:v>
      </x:c>
      <x:c r="F47" s="31" t="n">
        <x:v>46322</x:v>
      </x:c>
      <x:c r="G47" s="26" t="n">
        <x:f>F47-E47+1</x:f>
        <x:v>7</x:v>
      </x:c>
      <x:c r="H47" s="13" t="str">
        <x:v>SEC-02, AUTH-03, QA-INT</x:v>
      </x:c>
      <x:c r="I47" s="13" t="str">
        <x:v>API autenticada, cola, cuotas, cancelación y limpieza externa de contenedores</x:v>
      </x:c>
      <x:c r="J47" s="13" t="str">
        <x:v>En curso</x:v>
      </x:c>
      <x:c r="K47" s="22" t="str">
        <x:f>IF(AND(K$4&lt;=$F47,K$4+6&gt;=$E47),"■","")</x:f>
      </x:c>
      <x:c r="L47" s="22" t="str">
        <x:f>IF(AND(L$4&lt;=$F47,L$4+6&gt;=$E47),"■","")</x:f>
      </x:c>
      <x:c r="M47" s="22" t="str">
        <x:f>IF(AND(M$4&lt;=$F47,M$4+6&gt;=$E47),"■","")</x:f>
        <x:v>■</x:v>
      </x:c>
      <x:c r="N47" s="22" t="str">
        <x:f>IF(AND(N$4&lt;=$F47,N$4+6&gt;=$E47),"■","")</x:f>
      </x:c>
      <x:c r="O47" s="22" t="str">
        <x:f>IF(AND(O$4&lt;=$F47,O$4+6&gt;=$E47),"■","")</x:f>
      </x:c>
      <x:c r="P47" s="22" t="str">
        <x:f>IF(AND(P$4&lt;=$F47,P$4+6&gt;=$E47),"■","")</x:f>
      </x:c>
      <x:c r="Q47" s="22" t="str">
        <x:f>IF(AND(Q$4&lt;=$F47,Q$4+6&gt;=$E47),"■","")</x:f>
      </x:c>
      <x:c r="R47" s="22" t="str">
        <x:f>IF(AND(R$4&lt;=$F47,R$4+6&gt;=$E47),"■","")</x:f>
      </x:c>
      <x:c r="S47" s="32"/>
      <x:c r="T47" s="24"/>
      <x:c r="U47" s="24" t="str">
        <x:v>API de práctica autenticada y protección de origen incorporadas el 17–18/10. Cola, cuotas y limpieza externa de contenedores para producción siguen pendientes.</x:v>
      </x:c>
    </x:row>
    <x:row r="48" ht="61.5" customHeight="1">
      <x:c r="A48" s="11" t="str">
        <x:v>INT-01</x:v>
      </x:c>
      <x:c r="B48" s="11" t="str">
        <x:v>Sprint 2</x:v>
      </x:c>
      <x:c r="C48" s="11" t="str">
        <x:v>Integrar evaluación, resultados y persistencia</x:v>
      </x:c>
      <x:c r="D48" s="11" t="str">
        <x:v>Nicolas Camacho</x:v>
      </x:c>
      <x:c r="E48" s="30" t="n">
        <x:v>46323</x:v>
      </x:c>
      <x:c r="F48" s="30" t="n">
        <x:v>46325</x:v>
      </x:c>
      <x:c r="G48" s="19" t="n">
        <x:f>F48-E48+1</x:f>
        <x:v>3</x:v>
      </x:c>
      <x:c r="H48" s="11" t="str">
        <x:v>EVAL-01, DB-01, SEC-PROD</x:v>
      </x:c>
      <x:c r="I48" s="11" t="str">
        <x:v>Flujo completo de entrega, calificación y consulta de resultados</x:v>
      </x:c>
      <x:c r="J48" s="11" t="str">
        <x:v>Pendiente</x:v>
      </x:c>
      <x:c r="K48" s="22" t="str">
        <x:f>IF(AND(K$4&lt;=$F48,K$4+6&gt;=$E48),"■","")</x:f>
      </x:c>
      <x:c r="L48" s="22" t="str">
        <x:f>IF(AND(L$4&lt;=$F48,L$4+6&gt;=$E48),"■","")</x:f>
      </x:c>
      <x:c r="M48" s="22" t="str">
        <x:f>IF(AND(M$4&lt;=$F48,M$4+6&gt;=$E48),"■","")</x:f>
      </x:c>
      <x:c r="N48" s="22" t="str">
        <x:f>IF(AND(N$4&lt;=$F48,N$4+6&gt;=$E48),"■","")</x:f>
        <x:v>■</x:v>
      </x:c>
      <x:c r="O48" s="22" t="str">
        <x:f>IF(AND(O$4&lt;=$F48,O$4+6&gt;=$E48),"■","")</x:f>
      </x:c>
      <x:c r="P48" s="22" t="str">
        <x:f>IF(AND(P$4&lt;=$F48,P$4+6&gt;=$E48),"■","")</x:f>
      </x:c>
      <x:c r="Q48" s="22" t="str">
        <x:f>IF(AND(Q$4&lt;=$F48,Q$4+6&gt;=$E48),"■","")</x:f>
      </x:c>
      <x:c r="R48" s="22" t="str">
        <x:f>IF(AND(R$4&lt;=$F48,R$4+6&gt;=$E48),"■","")</x:f>
      </x:c>
      <x:c r="S48" s="32"/>
      <x:c r="T48" s="24"/>
      <x:c r="U48" s="24" t="str">
        <x:v>Integración oficial posterior a la validación del prototipo.</x:v>
      </x:c>
    </x:row>
    <x:row r="49" ht="15.75" customHeight="1">
      <x:c r="A49" s="13" t="str">
        <x:v>DEV-01</x:v>
      </x:c>
      <x:c r="B49" s="13" t="str">
        <x:v>Sprint 2</x:v>
      </x:c>
      <x:c r="C49" s="13" t="str">
        <x:v>Desplegar versión para pruebas de otros grupos</x:v>
      </x:c>
      <x:c r="D49" s="11" t="str">
        <x:v>Nicolas Camacho</x:v>
      </x:c>
      <x:c r="E49" s="31" t="n">
        <x:v>46326</x:v>
      </x:c>
      <x:c r="F49" s="31" t="n">
        <x:v>46328</x:v>
      </x:c>
      <x:c r="G49" s="26" t="n">
        <x:f>F49-E49+1</x:f>
        <x:v>3</x:v>
      </x:c>
      <x:c r="H49" s="13" t="str">
        <x:v>INT-01</x:v>
      </x:c>
      <x:c r="I49" s="13" t="str">
        <x:v>Entorno de prueba accesible con configuración reproducible</x:v>
      </x:c>
      <x:c r="J49" s="13" t="str">
        <x:v>Pendiente</x:v>
      </x:c>
      <x:c r="K49" s="22" t="str">
        <x:f>IF(AND(K$4&lt;=$F49,K$4+6&gt;=$E49),"■","")</x:f>
      </x:c>
      <x:c r="L49" s="22" t="str">
        <x:f>IF(AND(L$4&lt;=$F49,L$4+6&gt;=$E49),"■","")</x:f>
      </x:c>
      <x:c r="M49" s="22" t="str">
        <x:f>IF(AND(M$4&lt;=$F49,M$4+6&gt;=$E49),"■","")</x:f>
      </x:c>
      <x:c r="N49" s="22" t="str">
        <x:f>IF(AND(N$4&lt;=$F49,N$4+6&gt;=$E49),"■","")</x:f>
        <x:v>■</x:v>
      </x:c>
      <x:c r="O49" s="22" t="str">
        <x:f>IF(AND(O$4&lt;=$F49,O$4+6&gt;=$E49),"■","")</x:f>
      </x:c>
      <x:c r="P49" s="22" t="str">
        <x:f>IF(AND(P$4&lt;=$F49,P$4+6&gt;=$E49),"■","")</x:f>
      </x:c>
      <x:c r="Q49" s="22" t="str">
        <x:f>IF(AND(Q$4&lt;=$F49,Q$4+6&gt;=$E49),"■","")</x:f>
      </x:c>
      <x:c r="R49" s="22" t="str">
        <x:f>IF(AND(R$4&lt;=$F49,R$4+6&gt;=$E49),"■","")</x:f>
      </x:c>
      <x:c r="S49" s="32"/>
      <x:c r="T49" s="24"/>
      <x:c r="U49" s="24" t="str">
        <x:v>No se confirmó un despliegue operativo de la aplicación.</x:v>
      </x:c>
    </x:row>
    <x:row r="50" ht="15.75" customHeight="1">
      <x:c r="A50" s="11" t="str">
        <x:v>QA-02</x:v>
      </x:c>
      <x:c r="B50" s="11" t="str">
        <x:v>Sprint 2</x:v>
      </x:c>
      <x:c r="C50" s="11" t="str">
        <x:v>Ejecutar pruebas de aceptación y humo</x:v>
      </x:c>
      <x:c r="D50" s="11" t="str">
        <x:v>Santiago Cuervo</x:v>
      </x:c>
      <x:c r="E50" s="30" t="n">
        <x:v>46328</x:v>
      </x:c>
      <x:c r="F50" s="30" t="n">
        <x:v>46328</x:v>
      </x:c>
      <x:c r="G50" s="19" t="n">
        <x:f>F50-E50+1</x:f>
        <x:v>1</x:v>
      </x:c>
      <x:c r="H50" s="11" t="str">
        <x:v>DEV-01</x:v>
      </x:c>
      <x:c r="I50" s="11" t="str">
        <x:v>Recorridos críticos aprobados y defectos registrados</x:v>
      </x:c>
      <x:c r="J50" s="11" t="str">
        <x:v>Pendiente</x:v>
      </x:c>
      <x:c r="K50" s="22" t="str">
        <x:f>IF(AND(K$4&lt;=$F50,K$4+6&gt;=$E50),"■","")</x:f>
      </x:c>
      <x:c r="L50" s="22" t="str">
        <x:f>IF(AND(L$4&lt;=$F50,L$4+6&gt;=$E50),"■","")</x:f>
      </x:c>
      <x:c r="M50" s="22" t="str">
        <x:f>IF(AND(M$4&lt;=$F50,M$4+6&gt;=$E50),"■","")</x:f>
      </x:c>
      <x:c r="N50" s="22" t="str">
        <x:f>IF(AND(N$4&lt;=$F50,N$4+6&gt;=$E50),"■","")</x:f>
        <x:v>■</x:v>
      </x:c>
      <x:c r="O50" s="22" t="str">
        <x:f>IF(AND(O$4&lt;=$F50,O$4+6&gt;=$E50),"■","")</x:f>
      </x:c>
      <x:c r="P50" s="22" t="str">
        <x:f>IF(AND(P$4&lt;=$F50,P$4+6&gt;=$E50),"■","")</x:f>
      </x:c>
      <x:c r="Q50" s="22" t="str">
        <x:f>IF(AND(Q$4&lt;=$F50,Q$4+6&gt;=$E50),"■","")</x:f>
      </x:c>
      <x:c r="R50" s="22" t="str">
        <x:f>IF(AND(R$4&lt;=$F50,R$4+6&gt;=$E50),"■","")</x:f>
      </x:c>
      <x:c r="S50" s="32"/>
      <x:c r="T50" s="24"/>
      <x:c r="U50" s="24" t="str">
        <x:v>Comprobar autenticación, ejercicios, ejecución, persistencia y resultados.</x:v>
      </x:c>
    </x:row>
    <x:row r="51" ht="15.75" customHeight="1">
      <x:c r="A51" s="13" t="str">
        <x:v>REL-TEST</x:v>
      </x:c>
      <x:c r="B51" s="13" t="str">
        <x:v>Sprint 2</x:v>
      </x:c>
      <x:c r="C51" s="13" t="str">
        <x:v>Congelar y entregar versión para pruebas</x:v>
      </x:c>
      <x:c r="D51" s="11" t="str">
        <x:v>Kevin Pardo</x:v>
      </x:c>
      <x:c r="E51" s="31" t="n">
        <x:v>46329</x:v>
      </x:c>
      <x:c r="F51" s="31" t="n">
        <x:v>46329</x:v>
      </x:c>
      <x:c r="G51" s="26" t="n">
        <x:f>F51-E51+1</x:f>
        <x:v>1</x:v>
      </x:c>
      <x:c r="H51" s="13" t="str">
        <x:v>QA-02</x:v>
      </x:c>
      <x:c r="I51" s="13" t="str">
        <x:v>Versión etiquetada, guía de acceso y evidencias de prueba</x:v>
      </x:c>
      <x:c r="J51" s="13" t="str">
        <x:v>Pendiente</x:v>
      </x:c>
      <x:c r="K51" s="22" t="str">
        <x:f>IF(AND(K$4&lt;=$F51,K$4+6&gt;=$E51),"■","")</x:f>
      </x:c>
      <x:c r="L51" s="22" t="str">
        <x:f>IF(AND(L$4&lt;=$F51,L$4+6&gt;=$E51),"■","")</x:f>
      </x:c>
      <x:c r="M51" s="22" t="str">
        <x:f>IF(AND(M$4&lt;=$F51,M$4+6&gt;=$E51),"■","")</x:f>
      </x:c>
      <x:c r="N51" s="22" t="str">
        <x:f>IF(AND(N$4&lt;=$F51,N$4+6&gt;=$E51),"■","")</x:f>
        <x:v>■</x:v>
      </x:c>
      <x:c r="O51" s="22" t="str">
        <x:f>IF(AND(O$4&lt;=$F51,O$4+6&gt;=$E51),"■","")</x:f>
      </x:c>
      <x:c r="P51" s="22" t="str">
        <x:f>IF(AND(P$4&lt;=$F51,P$4+6&gt;=$E51),"■","")</x:f>
      </x:c>
      <x:c r="Q51" s="22" t="str">
        <x:f>IF(AND(Q$4&lt;=$F51,Q$4+6&gt;=$E51),"■","")</x:f>
      </x:c>
      <x:c r="R51" s="22" t="str">
        <x:f>IF(AND(R$4&lt;=$F51,R$4+6&gt;=$E51),"■","")</x:f>
      </x:c>
      <x:c r="S51" s="32"/>
      <x:c r="T51" s="24"/>
      <x:c r="U51" s="24" t="str">
        <x:v>El archivo original menciona entrega académica el 02 o 03/11. Fecha oficial por confirmar.</x:v>
      </x:c>
    </x:row>
    <x:row r="52" ht="15.75" customHeight="1">
      <x:c r="A52" s="11" t="str">
        <x:v>QA-EXT</x:v>
      </x:c>
      <x:c r="B52" s="11" t="str">
        <x:v>Sprint 3</x:v>
      </x:c>
      <x:c r="C52" s="11" t="str">
        <x:v>Recibir y reproducir pruebas de otros grupos</x:v>
      </x:c>
      <x:c r="D52" s="11" t="str">
        <x:v>Equipo completo</x:v>
      </x:c>
      <x:c r="E52" s="30" t="n">
        <x:v>46330</x:v>
      </x:c>
      <x:c r="F52" s="30" t="n">
        <x:v>46339</x:v>
      </x:c>
      <x:c r="G52" s="19" t="n">
        <x:f>F52-E52+1</x:f>
        <x:v>10</x:v>
      </x:c>
      <x:c r="H52" s="11" t="str">
        <x:v>REL-TEST</x:v>
      </x:c>
      <x:c r="I52" s="11" t="str">
        <x:v>Incidencias externas registradas con pasos y evidencias</x:v>
      </x:c>
      <x:c r="J52" s="11" t="str">
        <x:v>Pendiente</x:v>
      </x:c>
      <x:c r="K52" s="22" t="str">
        <x:f>IF(AND(K$4&lt;=$F52,K$4+6&gt;=$E52),"■","")</x:f>
      </x:c>
      <x:c r="L52" s="22" t="str">
        <x:f>IF(AND(L$4&lt;=$F52,L$4+6&gt;=$E52),"■","")</x:f>
      </x:c>
      <x:c r="M52" s="22" t="str">
        <x:f>IF(AND(M$4&lt;=$F52,M$4+6&gt;=$E52),"■","")</x:f>
      </x:c>
      <x:c r="N52" s="22" t="str">
        <x:f>IF(AND(N$4&lt;=$F52,N$4+6&gt;=$E52),"■","")</x:f>
      </x:c>
      <x:c r="O52" s="22" t="str">
        <x:f>IF(AND(O$4&lt;=$F52,O$4+6&gt;=$E52),"■","")</x:f>
        <x:v>■</x:v>
      </x:c>
      <x:c r="P52" s="22" t="str">
        <x:f>IF(AND(P$4&lt;=$F52,P$4+6&gt;=$E52),"■","")</x:f>
        <x:v>■</x:v>
      </x:c>
      <x:c r="Q52" s="22" t="str">
        <x:f>IF(AND(Q$4&lt;=$F52,Q$4+6&gt;=$E52),"■","")</x:f>
      </x:c>
      <x:c r="R52" s="22" t="str">
        <x:f>IF(AND(R$4&lt;=$F52,R$4+6&gt;=$E52),"■","")</x:f>
      </x:c>
      <x:c r="S52" s="32"/>
      <x:c r="T52" s="24"/>
      <x:c r="U52" s="24" t="str">
        <x:v>Recepción continua. Las correcciones pueden iniciar con las primeras incidencias.</x:v>
      </x:c>
    </x:row>
    <x:row r="53" ht="15.75" customHeight="1">
      <x:c r="A53" s="13" t="str">
        <x:v>QA-ADV</x:v>
      </x:c>
      <x:c r="B53" s="13" t="str">
        <x:v>Sprint 3</x:v>
      </x:c>
      <x:c r="C53" s="13" t="str">
        <x:v>Ejecutar pruebas adversariales internas</x:v>
      </x:c>
      <x:c r="D53" s="11" t="str">
        <x:v>Santiago Cuervo</x:v>
      </x:c>
      <x:c r="E53" s="31" t="n">
        <x:v>46330</x:v>
      </x:c>
      <x:c r="F53" s="31" t="n">
        <x:v>46337</x:v>
      </x:c>
      <x:c r="G53" s="26" t="n">
        <x:f>F53-E53+1</x:f>
        <x:v>8</x:v>
      </x:c>
      <x:c r="H53" s="13" t="str">
        <x:v>REL-TEST</x:v>
      </x:c>
      <x:c r="I53" s="13" t="str">
        <x:v>Casos límite y respuestas a fallos documentados</x:v>
      </x:c>
      <x:c r="J53" s="13" t="str">
        <x:v>Pendiente</x:v>
      </x:c>
      <x:c r="K53" s="22" t="str">
        <x:f>IF(AND(K$4&lt;=$F53,K$4+6&gt;=$E53),"■","")</x:f>
      </x:c>
      <x:c r="L53" s="22" t="str">
        <x:f>IF(AND(L$4&lt;=$F53,L$4+6&gt;=$E53),"■","")</x:f>
      </x:c>
      <x:c r="M53" s="22" t="str">
        <x:f>IF(AND(M$4&lt;=$F53,M$4+6&gt;=$E53),"■","")</x:f>
      </x:c>
      <x:c r="N53" s="22" t="str">
        <x:f>IF(AND(N$4&lt;=$F53,N$4+6&gt;=$E53),"■","")</x:f>
      </x:c>
      <x:c r="O53" s="22" t="str">
        <x:f>IF(AND(O$4&lt;=$F53,O$4+6&gt;=$E53),"■","")</x:f>
        <x:v>■</x:v>
      </x:c>
      <x:c r="P53" s="22" t="str">
        <x:f>IF(AND(P$4&lt;=$F53,P$4+6&gt;=$E53),"■","")</x:f>
        <x:v>■</x:v>
      </x:c>
      <x:c r="Q53" s="22" t="str">
        <x:f>IF(AND(Q$4&lt;=$F53,Q$4+6&gt;=$E53),"■","")</x:f>
      </x:c>
      <x:c r="R53" s="22" t="str">
        <x:f>IF(AND(R$4&lt;=$F53,R$4+6&gt;=$E53),"■","")</x:f>
      </x:c>
      <x:c r="S53" s="32"/>
      <x:c r="T53" s="24"/>
      <x:c r="U53" s="24" t="str">
        <x:v>En paralelo con la recepción de pruebas externas.</x:v>
      </x:c>
    </x:row>
    <x:row r="54" ht="15.75" customHeight="1">
      <x:c r="A54" s="11" t="str">
        <x:v>FIX-01</x:v>
      </x:c>
      <x:c r="B54" s="11" t="str">
        <x:v>Sprint 3</x:v>
      </x:c>
      <x:c r="C54" s="11" t="str">
        <x:v>Corregir defectos prioritarios</x:v>
      </x:c>
      <x:c r="D54" s="11" t="str">
        <x:v>Juan Carvajal / Camilo Jaimes</x:v>
      </x:c>
      <x:c r="E54" s="30" t="n">
        <x:v>46331</x:v>
      </x:c>
      <x:c r="F54" s="30" t="n">
        <x:v>46341</x:v>
      </x:c>
      <x:c r="G54" s="19" t="n">
        <x:f>F54-E54+1</x:f>
        <x:v>11</x:v>
      </x:c>
      <x:c r="H54" s="11" t="str">
        <x:v>QA-EXT, QA-ADV</x:v>
      </x:c>
      <x:c r="I54" s="11" t="str">
        <x:v>Defectos críticos corregidos y revisados</x:v>
      </x:c>
      <x:c r="J54" s="11" t="str">
        <x:v>Pendiente</x:v>
      </x:c>
      <x:c r="K54" s="22" t="str">
        <x:f>IF(AND(K$4&lt;=$F54,K$4+6&gt;=$E54),"■","")</x:f>
      </x:c>
      <x:c r="L54" s="22" t="str">
        <x:f>IF(AND(L$4&lt;=$F54,L$4+6&gt;=$E54),"■","")</x:f>
      </x:c>
      <x:c r="M54" s="22" t="str">
        <x:f>IF(AND(M$4&lt;=$F54,M$4+6&gt;=$E54),"■","")</x:f>
      </x:c>
      <x:c r="N54" s="22" t="str">
        <x:f>IF(AND(N$4&lt;=$F54,N$4+6&gt;=$E54),"■","")</x:f>
      </x:c>
      <x:c r="O54" s="22" t="str">
        <x:f>IF(AND(O$4&lt;=$F54,O$4+6&gt;=$E54),"■","")</x:f>
        <x:v>■</x:v>
      </x:c>
      <x:c r="P54" s="22" t="str">
        <x:f>IF(AND(P$4&lt;=$F54,P$4+6&gt;=$E54),"■","")</x:f>
        <x:v>■</x:v>
      </x:c>
      <x:c r="Q54" s="22" t="str">
        <x:f>IF(AND(Q$4&lt;=$F54,Q$4+6&gt;=$E54),"■","")</x:f>
      </x:c>
      <x:c r="R54" s="22" t="str">
        <x:f>IF(AND(R$4&lt;=$F54,R$4+6&gt;=$E54),"■","")</x:f>
      </x:c>
      <x:c r="S54" s="32"/>
      <x:c r="T54" s="24"/>
      <x:c r="U54" s="24" t="str">
        <x:v>Inicio con las primeras incidencias. Dependencia parcial, sin esperar el cierre de ambas campañas.</x:v>
      </x:c>
    </x:row>
    <x:row r="55" ht="15.75" customHeight="1">
      <x:c r="A55" s="13" t="str">
        <x:v>REG-01</x:v>
      </x:c>
      <x:c r="B55" s="13" t="str">
        <x:v>Sprint 3</x:v>
      </x:c>
      <x:c r="C55" s="13" t="str">
        <x:v>Ejecutar regresión tras cada corrección</x:v>
      </x:c>
      <x:c r="D55" s="11" t="str">
        <x:v>Santiago Cuervo</x:v>
      </x:c>
      <x:c r="E55" s="31" t="n">
        <x:v>46334</x:v>
      </x:c>
      <x:c r="F55" s="31" t="n">
        <x:v>46343</x:v>
      </x:c>
      <x:c r="G55" s="26" t="n">
        <x:f>F55-E55+1</x:f>
        <x:v>10</x:v>
      </x:c>
      <x:c r="H55" s="13" t="str">
        <x:v>FIX-01</x:v>
      </x:c>
      <x:c r="I55" s="13" t="str">
        <x:v>Verificaciones repetibles sin regresiones críticas</x:v>
      </x:c>
      <x:c r="J55" s="13" t="str">
        <x:v>Pendiente</x:v>
      </x:c>
      <x:c r="K55" s="22" t="str">
        <x:f>IF(AND(K$4&lt;=$F55,K$4+6&gt;=$E55),"■","")</x:f>
      </x:c>
      <x:c r="L55" s="22" t="str">
        <x:f>IF(AND(L$4&lt;=$F55,L$4+6&gt;=$E55),"■","")</x:f>
      </x:c>
      <x:c r="M55" s="22" t="str">
        <x:f>IF(AND(M$4&lt;=$F55,M$4+6&gt;=$E55),"■","")</x:f>
      </x:c>
      <x:c r="N55" s="22" t="str">
        <x:f>IF(AND(N$4&lt;=$F55,N$4+6&gt;=$E55),"■","")</x:f>
      </x:c>
      <x:c r="O55" s="22" t="str">
        <x:f>IF(AND(O$4&lt;=$F55,O$4+6&gt;=$E55),"■","")</x:f>
        <x:v>■</x:v>
      </x:c>
      <x:c r="P55" s="22" t="str">
        <x:f>IF(AND(P$4&lt;=$F55,P$4+6&gt;=$E55),"■","")</x:f>
        <x:v>■</x:v>
      </x:c>
      <x:c r="Q55" s="22" t="str">
        <x:f>IF(AND(Q$4&lt;=$F55,Q$4+6&gt;=$E55),"■","")</x:f>
      </x:c>
      <x:c r="R55" s="22" t="str">
        <x:f>IF(AND(R$4&lt;=$F55,R$4+6&gt;=$E55),"■","")</x:f>
      </x:c>
      <x:c r="S55" s="32"/>
      <x:c r="T55" s="24"/>
      <x:c r="U55" s="24" t="str">
        <x:v>Se ejecuta de forma continua a medida que se entregan correcciones.</x:v>
      </x:c>
    </x:row>
    <x:row r="56" ht="15.75" customHeight="1">
      <x:c r="A56" s="11" t="str">
        <x:v>SEC-03</x:v>
      </x:c>
      <x:c r="B56" s="11" t="str">
        <x:v>Sprint 3</x:v>
      </x:c>
      <x:c r="C56" s="11" t="str">
        <x:v>Verificar estabilidad y seguridad</x:v>
      </x:c>
      <x:c r="D56" s="11" t="str">
        <x:v>Nicolas Camacho</x:v>
      </x:c>
      <x:c r="E56" s="30" t="n">
        <x:v>46335</x:v>
      </x:c>
      <x:c r="F56" s="30" t="n">
        <x:v>46343</x:v>
      </x:c>
      <x:c r="G56" s="19" t="n">
        <x:f>F56-E56+1</x:f>
        <x:v>9</x:v>
      </x:c>
      <x:c r="H56" s="11" t="str">
        <x:v>SEC-PROD, QA-EXT</x:v>
      </x:c>
      <x:c r="I56" s="11" t="str">
        <x:v>Límites, aislamiento, sesiones y recuperación ante fallos verificados</x:v>
      </x:c>
      <x:c r="J56" s="11" t="str">
        <x:v>Pendiente</x:v>
      </x:c>
      <x:c r="K56" s="22" t="str">
        <x:f>IF(AND(K$4&lt;=$F56,K$4+6&gt;=$E56),"■","")</x:f>
      </x:c>
      <x:c r="L56" s="22" t="str">
        <x:f>IF(AND(L$4&lt;=$F56,L$4+6&gt;=$E56),"■","")</x:f>
      </x:c>
      <x:c r="M56" s="22" t="str">
        <x:f>IF(AND(M$4&lt;=$F56,M$4+6&gt;=$E56),"■","")</x:f>
      </x:c>
      <x:c r="N56" s="22" t="str">
        <x:f>IF(AND(N$4&lt;=$F56,N$4+6&gt;=$E56),"■","")</x:f>
      </x:c>
      <x:c r="O56" s="22" t="str">
        <x:f>IF(AND(O$4&lt;=$F56,O$4+6&gt;=$E56),"■","")</x:f>
        <x:v>■</x:v>
      </x:c>
      <x:c r="P56" s="22" t="str">
        <x:f>IF(AND(P$4&lt;=$F56,P$4+6&gt;=$E56),"■","")</x:f>
        <x:v>■</x:v>
      </x:c>
      <x:c r="Q56" s="22" t="str">
        <x:f>IF(AND(Q$4&lt;=$F56,Q$4+6&gt;=$E56),"■","")</x:f>
      </x:c>
      <x:c r="R56" s="22" t="str">
        <x:f>IF(AND(R$4&lt;=$F56,R$4+6&gt;=$E56),"■","")</x:f>
      </x:c>
      <x:c r="S56" s="32"/>
      <x:c r="T56" s="24"/>
      <x:c r="U56" s="24" t="str">
        <x:v>Atender hallazgos parciales de QA-EXT durante el sprint.</x:v>
      </x:c>
    </x:row>
    <x:row r="57" ht="15.75" customHeight="1">
      <x:c r="A57" s="13" t="str">
        <x:v>FIX-02</x:v>
      </x:c>
      <x:c r="B57" s="13" t="str">
        <x:v>Sprint 4</x:v>
      </x:c>
      <x:c r="C57" s="13" t="str">
        <x:v>Resolver pendientes y estabilizar</x:v>
      </x:c>
      <x:c r="D57" s="11" t="str">
        <x:v>Juan Carvajal / Camilo Jaimes</x:v>
      </x:c>
      <x:c r="E57" s="31" t="n">
        <x:v>46344</x:v>
      </x:c>
      <x:c r="F57" s="31" t="n">
        <x:v>46350</x:v>
      </x:c>
      <x:c r="G57" s="26" t="n">
        <x:f>F57-E57+1</x:f>
        <x:v>7</x:v>
      </x:c>
      <x:c r="H57" s="13" t="str">
        <x:v>FIX-01, REG-01</x:v>
      </x:c>
      <x:c r="I57" s="13" t="str">
        <x:v>Pendientes prioritarios cerrados</x:v>
      </x:c>
      <x:c r="J57" s="13" t="str">
        <x:v>Pendiente</x:v>
      </x:c>
      <x:c r="K57" s="22" t="str">
        <x:f>IF(AND(K$4&lt;=$F57,K$4+6&gt;=$E57),"■","")</x:f>
      </x:c>
      <x:c r="L57" s="22" t="str">
        <x:f>IF(AND(L$4&lt;=$F57,L$4+6&gt;=$E57),"■","")</x:f>
      </x:c>
      <x:c r="M57" s="22" t="str">
        <x:f>IF(AND(M$4&lt;=$F57,M$4+6&gt;=$E57),"■","")</x:f>
      </x:c>
      <x:c r="N57" s="22" t="str">
        <x:f>IF(AND(N$4&lt;=$F57,N$4+6&gt;=$E57),"■","")</x:f>
      </x:c>
      <x:c r="O57" s="22" t="str">
        <x:f>IF(AND(O$4&lt;=$F57,O$4+6&gt;=$E57),"■","")</x:f>
      </x:c>
      <x:c r="P57" s="22" t="str">
        <x:f>IF(AND(P$4&lt;=$F57,P$4+6&gt;=$E57),"■","")</x:f>
      </x:c>
      <x:c r="Q57" s="22" t="str">
        <x:f>IF(AND(Q$4&lt;=$F57,Q$4+6&gt;=$E57),"■","")</x:f>
        <x:v>■</x:v>
      </x:c>
      <x:c r="R57" s="22" t="str">
        <x:f>IF(AND(R$4&lt;=$F57,R$4+6&gt;=$E57),"■","")</x:f>
      </x:c>
      <x:c r="S57" s="32"/>
      <x:c r="T57" s="24"/>
      <x:c r="U57" s="24"/>
    </x:row>
    <x:row r="58" ht="15.75" customHeight="1">
      <x:c r="A58" s="11" t="str">
        <x:v>DEV-02</x:v>
      </x:c>
      <x:c r="B58" s="11" t="str">
        <x:v>Sprint 4</x:v>
      </x:c>
      <x:c r="C58" s="11" t="str">
        <x:v>Preparar despliegue estable</x:v>
      </x:c>
      <x:c r="D58" s="11" t="str">
        <x:v>Nicolas Camacho</x:v>
      </x:c>
      <x:c r="E58" s="30" t="n">
        <x:v>46344</x:v>
      </x:c>
      <x:c r="F58" s="30" t="n">
        <x:v>46352</x:v>
      </x:c>
      <x:c r="G58" s="19" t="n">
        <x:f>F58-E58+1</x:f>
        <x:v>9</x:v>
      </x:c>
      <x:c r="H58" s="11" t="str">
        <x:v>DEV-01, SEC-03</x:v>
      </x:c>
      <x:c r="I58" s="11" t="str">
        <x:v>Despliegue reproducible y monitoreado</x:v>
      </x:c>
      <x:c r="J58" s="11" t="str">
        <x:v>Pendiente</x:v>
      </x:c>
      <x:c r="K58" s="22" t="str">
        <x:f>IF(AND(K$4&lt;=$F58,K$4+6&gt;=$E58),"■","")</x:f>
      </x:c>
      <x:c r="L58" s="22" t="str">
        <x:f>IF(AND(L$4&lt;=$F58,L$4+6&gt;=$E58),"■","")</x:f>
      </x:c>
      <x:c r="M58" s="22" t="str">
        <x:f>IF(AND(M$4&lt;=$F58,M$4+6&gt;=$E58),"■","")</x:f>
      </x:c>
      <x:c r="N58" s="22" t="str">
        <x:f>IF(AND(N$4&lt;=$F58,N$4+6&gt;=$E58),"■","")</x:f>
      </x:c>
      <x:c r="O58" s="22" t="str">
        <x:f>IF(AND(O$4&lt;=$F58,O$4+6&gt;=$E58),"■","")</x:f>
      </x:c>
      <x:c r="P58" s="22" t="str">
        <x:f>IF(AND(P$4&lt;=$F58,P$4+6&gt;=$E58),"■","")</x:f>
      </x:c>
      <x:c r="Q58" s="22" t="str">
        <x:f>IF(AND(Q$4&lt;=$F58,Q$4+6&gt;=$E58),"■","")</x:f>
        <x:v>■</x:v>
      </x:c>
      <x:c r="R58" s="22" t="str">
        <x:f>IF(AND(R$4&lt;=$F58,R$4+6&gt;=$E58),"■","")</x:f>
        <x:v>■</x:v>
      </x:c>
      <x:c r="S58" s="32"/>
      <x:c r="T58" s="24"/>
      <x:c r="U58" s="24"/>
    </x:row>
    <x:row r="59" ht="15.75" customHeight="1">
      <x:c r="A59" s="13" t="str">
        <x:v>QA-FIN</x:v>
      </x:c>
      <x:c r="B59" s="13" t="str">
        <x:v>Sprint 4</x:v>
      </x:c>
      <x:c r="C59" s="13" t="str">
        <x:v>Ejecutar regresión final y prueba general</x:v>
      </x:c>
      <x:c r="D59" s="11" t="str">
        <x:v>Santiago Cuervo</x:v>
      </x:c>
      <x:c r="E59" s="31" t="n">
        <x:v>46353</x:v>
      </x:c>
      <x:c r="F59" s="31" t="n">
        <x:v>46354</x:v>
      </x:c>
      <x:c r="G59" s="26" t="n">
        <x:f>F59-E59+1</x:f>
        <x:v>2</x:v>
      </x:c>
      <x:c r="H59" s="13" t="str">
        <x:v>FIX-02, DEV-02</x:v>
      </x:c>
      <x:c r="I59" s="13" t="str">
        <x:v>Batería final ejecutada y evidencias almacenadas</x:v>
      </x:c>
      <x:c r="J59" s="13" t="str">
        <x:v>Pendiente</x:v>
      </x:c>
      <x:c r="K59" s="22" t="str">
        <x:f>IF(AND(K$4&lt;=$F59,K$4+6&gt;=$E59),"■","")</x:f>
      </x:c>
      <x:c r="L59" s="22" t="str">
        <x:f>IF(AND(L$4&lt;=$F59,L$4+6&gt;=$E59),"■","")</x:f>
      </x:c>
      <x:c r="M59" s="22" t="str">
        <x:f>IF(AND(M$4&lt;=$F59,M$4+6&gt;=$E59),"■","")</x:f>
      </x:c>
      <x:c r="N59" s="22" t="str">
        <x:f>IF(AND(N$4&lt;=$F59,N$4+6&gt;=$E59),"■","")</x:f>
      </x:c>
      <x:c r="O59" s="22" t="str">
        <x:f>IF(AND(O$4&lt;=$F59,O$4+6&gt;=$E59),"■","")</x:f>
      </x:c>
      <x:c r="P59" s="22" t="str">
        <x:f>IF(AND(P$4&lt;=$F59,P$4+6&gt;=$E59),"■","")</x:f>
      </x:c>
      <x:c r="Q59" s="22" t="str">
        <x:f>IF(AND(Q$4&lt;=$F59,Q$4+6&gt;=$E59),"■","")</x:f>
      </x:c>
      <x:c r="R59" s="22" t="str">
        <x:f>IF(AND(R$4&lt;=$F59,R$4+6&gt;=$E59),"■","")</x:f>
        <x:v>■</x:v>
      </x:c>
      <x:c r="S59" s="32"/>
      <x:c r="T59" s="24"/>
      <x:c r="U59" s="24"/>
    </x:row>
    <x:row r="60" ht="15.75" customHeight="1">
      <x:c r="A60" s="11" t="str">
        <x:v>DOC-01</x:v>
      </x:c>
      <x:c r="B60" s="11" t="str">
        <x:v>Sprint 4</x:v>
      </x:c>
      <x:c r="C60" s="11" t="str">
        <x:v>Preparar demostración y evidencias</x:v>
      </x:c>
      <x:c r="D60" s="11" t="str">
        <x:v>Nicolas Camacho</x:v>
      </x:c>
      <x:c r="E60" s="30" t="n">
        <x:v>46355</x:v>
      </x:c>
      <x:c r="F60" s="30" t="n">
        <x:v>46357</x:v>
      </x:c>
      <x:c r="G60" s="19" t="n">
        <x:f>F60-E60+1</x:f>
        <x:v>3</x:v>
      </x:c>
      <x:c r="H60" s="11" t="str">
        <x:v>QA-FIN</x:v>
      </x:c>
      <x:c r="I60" s="11" t="str">
        <x:v>Demostración, bitácora y resultados de prueba</x:v>
      </x:c>
      <x:c r="J60" s="11" t="str">
        <x:v>Pendiente</x:v>
      </x:c>
      <x:c r="K60" s="22" t="str">
        <x:f>IF(AND(K$4&lt;=$F60,K$4+6&gt;=$E60),"■","")</x:f>
      </x:c>
      <x:c r="L60" s="22" t="str">
        <x:f>IF(AND(L$4&lt;=$F60,L$4+6&gt;=$E60),"■","")</x:f>
      </x:c>
      <x:c r="M60" s="22" t="str">
        <x:f>IF(AND(M$4&lt;=$F60,M$4+6&gt;=$E60),"■","")</x:f>
      </x:c>
      <x:c r="N60" s="22" t="str">
        <x:f>IF(AND(N$4&lt;=$F60,N$4+6&gt;=$E60),"■","")</x:f>
      </x:c>
      <x:c r="O60" s="22" t="str">
        <x:f>IF(AND(O$4&lt;=$F60,O$4+6&gt;=$E60),"■","")</x:f>
      </x:c>
      <x:c r="P60" s="22" t="str">
        <x:f>IF(AND(P$4&lt;=$F60,P$4+6&gt;=$E60),"■","")</x:f>
      </x:c>
      <x:c r="Q60" s="22" t="str">
        <x:f>IF(AND(Q$4&lt;=$F60,Q$4+6&gt;=$E60),"■","")</x:f>
      </x:c>
      <x:c r="R60" s="22" t="str">
        <x:f>IF(AND(R$4&lt;=$F60,R$4+6&gt;=$E60),"■","")</x:f>
        <x:v>■</x:v>
      </x:c>
      <x:c r="S60" s="32"/>
      <x:c r="T60" s="24"/>
      <x:c r="U60" s="24"/>
    </x:row>
    <x:row r="61" ht="15.75" customHeight="1">
      <x:c r="A61" s="13" t="str">
        <x:v>REL-01</x:v>
      </x:c>
      <x:c r="B61" s="13" t="str">
        <x:v>Sprint 4</x:v>
      </x:c>
      <x:c r="C61" s="13" t="str">
        <x:v>Congelar versión final planificada</x:v>
      </x:c>
      <x:c r="D61" s="11" t="str">
        <x:v>Equipo completo</x:v>
      </x:c>
      <x:c r="E61" s="31" t="n">
        <x:v>46357</x:v>
      </x:c>
      <x:c r="F61" s="31" t="n">
        <x:v>46357</x:v>
      </x:c>
      <x:c r="G61" s="26" t="n">
        <x:f>F61-E61+1</x:f>
        <x:v>1</x:v>
      </x:c>
      <x:c r="H61" s="13" t="str">
        <x:v>QA-FIN, DEV-02, DOC-01</x:v>
      </x:c>
      <x:c r="I61" s="13" t="str">
        <x:v>Versión reproducible y cierre de incidencias</x:v>
      </x:c>
      <x:c r="J61" s="13" t="str">
        <x:v>Pendiente</x:v>
      </x:c>
      <x:c r="K61" s="22" t="str">
        <x:f>IF(AND(K$4&lt;=$F61,K$4+6&gt;=$E61),"■","")</x:f>
      </x:c>
      <x:c r="L61" s="22" t="str">
        <x:f>IF(AND(L$4&lt;=$F61,L$4+6&gt;=$E61),"■","")</x:f>
      </x:c>
      <x:c r="M61" s="22" t="str">
        <x:f>IF(AND(M$4&lt;=$F61,M$4+6&gt;=$E61),"■","")</x:f>
      </x:c>
      <x:c r="N61" s="22" t="str">
        <x:f>IF(AND(N$4&lt;=$F61,N$4+6&gt;=$E61),"■","")</x:f>
      </x:c>
      <x:c r="O61" s="22" t="str">
        <x:f>IF(AND(O$4&lt;=$F61,O$4+6&gt;=$E61),"■","")</x:f>
      </x:c>
      <x:c r="P61" s="22" t="str">
        <x:f>IF(AND(P$4&lt;=$F61,P$4+6&gt;=$E61),"■","")</x:f>
      </x:c>
      <x:c r="Q61" s="22" t="str">
        <x:f>IF(AND(Q$4&lt;=$F61,Q$4+6&gt;=$E61),"■","")</x:f>
      </x:c>
      <x:c r="R61" s="22" t="str">
        <x:f>IF(AND(R$4&lt;=$F61,R$4+6&gt;=$E61),"■","")</x:f>
        <x:v>■</x:v>
      </x:c>
      <x:c r="S61" s="33"/>
      <x:c r="T61" s="29"/>
      <x:c r="U61" s="29" t="str">
        <x:v>Cierre de ocho semanas del plan original. No es fecha oficial confirmada.</x:v>
      </x:c>
    </x:row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mergeCells>
    <x:mergeCell ref="A1:R1"/>
    <x:mergeCell ref="A2:J2"/>
    <x:mergeCell ref="K2:R2"/>
    <x:mergeCell ref="S2:U2"/>
  </x:mergeCells>
  <x:conditionalFormatting sqref="J5:J61">
    <x:cfRule type="expression" dxfId="7" priority="1">
      <x:formula>J5="Hecho"</x:formula>
    </x:cfRule>
    <x:cfRule type="expression" dxfId="8" priority="2">
      <x:formula>J5="Bloqueado"</x:formula>
    </x:cfRule>
    <x:cfRule type="expression" dxfId="9" priority="3">
      <x:formula>J5="En curso"</x:formula>
    </x:cfRule>
  </x:conditionalFormatting>
  <x:conditionalFormatting sqref="K5:R61">
    <x:cfRule type="expression" dxfId="10" priority="4">
      <x:formula>AND(K$4&lt;=$F5,K$4+6&gt;=$E5,$B5="Sprint 1")</x:formula>
    </x:cfRule>
    <x:cfRule type="expression" dxfId="11" priority="5">
      <x:formula>AND(K$4&lt;=$F5,K$4+6&gt;=$E5,$B5="Sprint 2")</x:formula>
    </x:cfRule>
    <x:cfRule type="expression" dxfId="12" priority="6">
      <x:formula>AND(K$4&lt;=$F5,K$4+6&gt;=$E5,$B5="Sprint 3")</x:formula>
    </x:cfRule>
    <x:cfRule type="expression" dxfId="13" priority="7">
      <x:formula>AND(K$4&lt;=$F5,K$4+6&gt;=$E5,$B5="Sprint 4")</x:formula>
    </x:cfRule>
  </x:conditionalFormatting>
  <x:dataValidations count="1">
    <x:dataValidation type="list" sqref="J5:J61">
      <x:formula1>"Pendiente,En curso,En revisión,Hecho,Bloqueado"</x:formula1>
    </x:dataValidation>
  </x:dataValidations>
  <x:pageMargins left="0.7" right="0.7" top="0.75" bottom="0.75" header="0.3" footer="0.3"/>
</x:worksheet>
</file>